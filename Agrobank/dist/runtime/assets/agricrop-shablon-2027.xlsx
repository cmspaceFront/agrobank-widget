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.muhammadjonov\Downloads\"/>
    </mc:Choice>
  </mc:AlternateContent>
  <xr:revisionPtr revIDLastSave="0" documentId="13_ncr:1_{49EDB056-9D7A-406C-88B0-1528571CC279}" xr6:coauthVersionLast="47" xr6:coauthVersionMax="47" xr10:uidLastSave="{00000000-0000-0000-0000-000000000000}"/>
  <bookViews>
    <workbookView xWindow="-120" yWindow="-120" windowWidth="38640" windowHeight="21120" firstSheet="1" activeTab="2" xr2:uid="{00000000-000D-0000-FFFF-FFFF00000000}"/>
  </bookViews>
  <sheets>
    <sheet name="Viloyat" sheetId="3" state="veryHidden" r:id="rId1"/>
    <sheet name="Tuman" sheetId="2" r:id="rId2"/>
    <sheet name="Ferm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" l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F4" i="2"/>
  <c r="F3" i="2"/>
  <c r="K4" i="2" l="1"/>
  <c r="K3" i="2"/>
  <c r="E4" i="2"/>
  <c r="E3" i="2"/>
</calcChain>
</file>

<file path=xl/sharedStrings.xml><?xml version="1.0" encoding="utf-8"?>
<sst xmlns="http://schemas.openxmlformats.org/spreadsheetml/2006/main" count="2352" uniqueCount="1117">
  <si>
    <t>Tuman</t>
  </si>
  <si>
    <t>ga</t>
  </si>
  <si>
    <t>Yaxshi</t>
  </si>
  <si>
    <t>O'rta</t>
  </si>
  <si>
    <t>Past</t>
  </si>
  <si>
    <t>Ekin maydon holati
(ga)</t>
  </si>
  <si>
    <t>Xomashyo hajmi (reja), tonna</t>
  </si>
  <si>
    <t>Xomashyo qiymati, so'm</t>
  </si>
  <si>
    <t>Imtiyozli kreditga talab, so'm</t>
  </si>
  <si>
    <t>Ajratilgan imtiyozli kredit, so'm</t>
  </si>
  <si>
    <t>Paxta ekish rejasi
ga</t>
  </si>
  <si>
    <t>Farqi</t>
  </si>
  <si>
    <t>A'lo</t>
  </si>
  <si>
    <t>O'rtacha, s/ga</t>
  </si>
  <si>
    <t>Paxta xomashyosi hajmi (prognoz), tonna</t>
  </si>
  <si>
    <t>Paxta xomashyosi hajmi (reja), tonna</t>
  </si>
  <si>
    <t>Kredit ma'lumotlari</t>
  </si>
  <si>
    <t>Hosildorlik</t>
  </si>
  <si>
    <t>Kosmik monitoring yordamida aniqlangan birlamchi paxta maydoni,
ga</t>
  </si>
  <si>
    <t>Viloyat nomi</t>
  </si>
  <si>
    <t>Farqi, ga</t>
  </si>
  <si>
    <t>FX nomi</t>
  </si>
  <si>
    <t>INN</t>
  </si>
  <si>
    <t xml:space="preserve"> Jami </t>
  </si>
  <si>
    <t xml:space="preserve"> 5824,9 </t>
  </si>
  <si>
    <t xml:space="preserve"> 5893,0 </t>
  </si>
  <si>
    <t xml:space="preserve"> 68,2 </t>
  </si>
  <si>
    <t xml:space="preserve"> 4093,3 </t>
  </si>
  <si>
    <t xml:space="preserve"> 943,9 </t>
  </si>
  <si>
    <t xml:space="preserve"> 466,4 </t>
  </si>
  <si>
    <t xml:space="preserve"> 627,1 </t>
  </si>
  <si>
    <t xml:space="preserve"> 19118,8 </t>
  </si>
  <si>
    <t xml:space="preserve"> 150311510294 </t>
  </si>
  <si>
    <t xml:space="preserve"> 90186906180 </t>
  </si>
  <si>
    <t xml:space="preserve"> 81672017226 </t>
  </si>
  <si>
    <t xml:space="preserve"> 45,5 </t>
  </si>
  <si>
    <t xml:space="preserve"> 27741,7 </t>
  </si>
  <si>
    <t xml:space="preserve"> Xorazm viloyati </t>
  </si>
  <si>
    <t xml:space="preserve"> Urganch tumani </t>
  </si>
  <si>
    <t xml:space="preserve"> 200409955 </t>
  </si>
  <si>
    <t xml:space="preserve"> PSU VA EAITI XORAZM IL TAJ STA </t>
  </si>
  <si>
    <t xml:space="preserve"> 68,7 </t>
  </si>
  <si>
    <t xml:space="preserve"> 67,7 </t>
  </si>
  <si>
    <t xml:space="preserve"> -1,1 </t>
  </si>
  <si>
    <t xml:space="preserve"> 53,3 </t>
  </si>
  <si>
    <t xml:space="preserve"> 9,3 </t>
  </si>
  <si>
    <t xml:space="preserve"> 3,4 </t>
  </si>
  <si>
    <t xml:space="preserve"> 0,0 </t>
  </si>
  <si>
    <t xml:space="preserve"> 279,3 </t>
  </si>
  <si>
    <t xml:space="preserve"> 2195612878 </t>
  </si>
  <si>
    <t xml:space="preserve"> 1317367727 </t>
  </si>
  <si>
    <t xml:space="preserve"> 1249286400 </t>
  </si>
  <si>
    <t xml:space="preserve"> 50,5 </t>
  </si>
  <si>
    <t xml:space="preserve"> 333,2 </t>
  </si>
  <si>
    <t xml:space="preserve"> 200417108 </t>
  </si>
  <si>
    <t xml:space="preserve"> SHERIP ФЕРМЕР ХУЖАЛИГИ </t>
  </si>
  <si>
    <t xml:space="preserve"> 34,1 </t>
  </si>
  <si>
    <t xml:space="preserve"> 36,4 </t>
  </si>
  <si>
    <t xml:space="preserve"> 2,3 </t>
  </si>
  <si>
    <t xml:space="preserve"> 2,9 </t>
  </si>
  <si>
    <t xml:space="preserve"> 12,4 </t>
  </si>
  <si>
    <t xml:space="preserve"> 11,7 </t>
  </si>
  <si>
    <t xml:space="preserve"> 133,2 </t>
  </si>
  <si>
    <t xml:space="preserve"> 1047084746 </t>
  </si>
  <si>
    <t xml:space="preserve"> 628250848 </t>
  </si>
  <si>
    <t xml:space="preserve"> 597398000 </t>
  </si>
  <si>
    <t xml:space="preserve"> 45,2 </t>
  </si>
  <si>
    <t xml:space="preserve"> 164,6 </t>
  </si>
  <si>
    <t xml:space="preserve"> 201185420 </t>
  </si>
  <si>
    <t xml:space="preserve"> DILMUROD SHAVKAT ФЕРМЕР ХУЖАЛИГИ </t>
  </si>
  <si>
    <t xml:space="preserve"> 25,5 </t>
  </si>
  <si>
    <t xml:space="preserve"> 17,6 </t>
  </si>
  <si>
    <t xml:space="preserve"> -7,9 </t>
  </si>
  <si>
    <t xml:space="preserve"> 6,0 </t>
  </si>
  <si>
    <t xml:space="preserve"> 7,8 </t>
  </si>
  <si>
    <t xml:space="preserve"> 3,8 </t>
  </si>
  <si>
    <t xml:space="preserve"> 88,8 </t>
  </si>
  <si>
    <t xml:space="preserve"> 698279254 </t>
  </si>
  <si>
    <t xml:space="preserve"> 418967552 </t>
  </si>
  <si>
    <t xml:space="preserve"> 404945400 </t>
  </si>
  <si>
    <t xml:space="preserve"> 80,1 </t>
  </si>
  <si>
    <t xml:space="preserve"> 201685313 </t>
  </si>
  <si>
    <t xml:space="preserve"> TO`RABEK ФХ </t>
  </si>
  <si>
    <t xml:space="preserve"> 50,1 </t>
  </si>
  <si>
    <t xml:space="preserve"> 49,9 </t>
  </si>
  <si>
    <t xml:space="preserve"> -0,1 </t>
  </si>
  <si>
    <t xml:space="preserve"> 41,8 </t>
  </si>
  <si>
    <t xml:space="preserve"> 8,1 </t>
  </si>
  <si>
    <t xml:space="preserve"> 187,5 </t>
  </si>
  <si>
    <t xml:space="preserve"> 1474329412 </t>
  </si>
  <si>
    <t xml:space="preserve"> 884597647 </t>
  </si>
  <si>
    <t xml:space="preserve"> 853225558 </t>
  </si>
  <si>
    <t xml:space="preserve"> 44,4 </t>
  </si>
  <si>
    <t xml:space="preserve"> 221,5 </t>
  </si>
  <si>
    <t xml:space="preserve"> 202059339 </t>
  </si>
  <si>
    <t xml:space="preserve"> САЙЕРА ФЕРМЕР ХУЖАЛИГИ </t>
  </si>
  <si>
    <t xml:space="preserve"> 36,3 </t>
  </si>
  <si>
    <t xml:space="preserve"> 39,4 </t>
  </si>
  <si>
    <t xml:space="preserve"> 3,2 </t>
  </si>
  <si>
    <t xml:space="preserve"> 125,1 </t>
  </si>
  <si>
    <t xml:space="preserve"> 983646268 </t>
  </si>
  <si>
    <t xml:space="preserve"> 590187761 </t>
  </si>
  <si>
    <t xml:space="preserve"> 565181000 </t>
  </si>
  <si>
    <t xml:space="preserve"> 54,7 </t>
  </si>
  <si>
    <t xml:space="preserve"> 215,7 </t>
  </si>
  <si>
    <t xml:space="preserve"> 202124162 </t>
  </si>
  <si>
    <t xml:space="preserve"> АЗИЗ ТУРКИСТОН ФЕРМЕР ХУЖАЛИГИ </t>
  </si>
  <si>
    <t xml:space="preserve"> 36,2 </t>
  </si>
  <si>
    <t xml:space="preserve"> 34,5 </t>
  </si>
  <si>
    <t xml:space="preserve"> -1,7 </t>
  </si>
  <si>
    <t xml:space="preserve"> 31,2 </t>
  </si>
  <si>
    <t xml:space="preserve"> 5,2 </t>
  </si>
  <si>
    <t xml:space="preserve"> 7,0 </t>
  </si>
  <si>
    <t xml:space="preserve"> 98,3 </t>
  </si>
  <si>
    <t xml:space="preserve"> 772638050 </t>
  </si>
  <si>
    <t xml:space="preserve"> 463582830 </t>
  </si>
  <si>
    <t xml:space="preserve"> 440350317 </t>
  </si>
  <si>
    <t xml:space="preserve"> 53,0 </t>
  </si>
  <si>
    <t xml:space="preserve"> 230,1 </t>
  </si>
  <si>
    <t xml:space="preserve"> 202170391 </t>
  </si>
  <si>
    <t xml:space="preserve"> БОБУР БЕК ФЕРМЕР ХУЖАЛИГИ </t>
  </si>
  <si>
    <t xml:space="preserve"> 18,0 </t>
  </si>
  <si>
    <t xml:space="preserve"> 17,3 </t>
  </si>
  <si>
    <t xml:space="preserve"> -0,7 </t>
  </si>
  <si>
    <t xml:space="preserve"> 3,7 </t>
  </si>
  <si>
    <t xml:space="preserve"> 11,2 </t>
  </si>
  <si>
    <t xml:space="preserve"> 46,5 </t>
  </si>
  <si>
    <t xml:space="preserve"> 365386450 </t>
  </si>
  <si>
    <t xml:space="preserve"> 219231870 </t>
  </si>
  <si>
    <t xml:space="preserve"> 207357437 </t>
  </si>
  <si>
    <t xml:space="preserve"> 50,6 </t>
  </si>
  <si>
    <t xml:space="preserve"> 75,7 </t>
  </si>
  <si>
    <t xml:space="preserve"> 202468225 </t>
  </si>
  <si>
    <t xml:space="preserve"> RA`NO ФХ </t>
  </si>
  <si>
    <t xml:space="preserve"> 43,0 </t>
  </si>
  <si>
    <t xml:space="preserve"> 48,6 </t>
  </si>
  <si>
    <t xml:space="preserve"> 5,6 </t>
  </si>
  <si>
    <t xml:space="preserve"> 20,1 </t>
  </si>
  <si>
    <t xml:space="preserve"> 20,7 </t>
  </si>
  <si>
    <t xml:space="preserve"> 3,6 </t>
  </si>
  <si>
    <t xml:space="preserve"> 4,1 </t>
  </si>
  <si>
    <t xml:space="preserve"> 150,9 </t>
  </si>
  <si>
    <t xml:space="preserve"> 1186022010 </t>
  </si>
  <si>
    <t xml:space="preserve"> 711613206 </t>
  </si>
  <si>
    <t xml:space="preserve"> 676497900 </t>
  </si>
  <si>
    <t xml:space="preserve"> 52,3 </t>
  </si>
  <si>
    <t xml:space="preserve"> 254,1 </t>
  </si>
  <si>
    <t xml:space="preserve"> 202811219 </t>
  </si>
  <si>
    <t xml:space="preserve"> ФЕРМЕРСКОЕ ХОЗЯЙСТВО "BEKMAT OTA" </t>
  </si>
  <si>
    <t xml:space="preserve"> 58,5 </t>
  </si>
  <si>
    <t xml:space="preserve"> 62,4 </t>
  </si>
  <si>
    <t xml:space="preserve"> 16,9 </t>
  </si>
  <si>
    <t xml:space="preserve"> 1,8 </t>
  </si>
  <si>
    <t xml:space="preserve"> 219,6 </t>
  </si>
  <si>
    <t xml:space="preserve"> 1726597406 </t>
  </si>
  <si>
    <t xml:space="preserve"> 1035958444 </t>
  </si>
  <si>
    <t xml:space="preserve"> 992629075 </t>
  </si>
  <si>
    <t xml:space="preserve"> 33,3 </t>
  </si>
  <si>
    <t xml:space="preserve"> 213,6 </t>
  </si>
  <si>
    <t xml:space="preserve"> 202821744 </t>
  </si>
  <si>
    <t xml:space="preserve"> ЖАВОХИР ФЕРМЕР ХУЖАЛИГИ </t>
  </si>
  <si>
    <t xml:space="preserve"> 40,3 </t>
  </si>
  <si>
    <t xml:space="preserve"> 37,4 </t>
  </si>
  <si>
    <t xml:space="preserve"> -2,9 </t>
  </si>
  <si>
    <t xml:space="preserve"> 1,4 </t>
  </si>
  <si>
    <t xml:space="preserve"> 176,6 </t>
  </si>
  <si>
    <t xml:space="preserve"> 1388492096 </t>
  </si>
  <si>
    <t xml:space="preserve"> 833095258 </t>
  </si>
  <si>
    <t xml:space="preserve"> 782573810 </t>
  </si>
  <si>
    <t xml:space="preserve"> 52,1 </t>
  </si>
  <si>
    <t xml:space="preserve"> 202,3 </t>
  </si>
  <si>
    <t xml:space="preserve"> 202898839 </t>
  </si>
  <si>
    <t xml:space="preserve"> ТИЛЛО ФЕРМЕР ХУЖАЛИГИ </t>
  </si>
  <si>
    <t xml:space="preserve"> 35,2 </t>
  </si>
  <si>
    <t xml:space="preserve"> 30,9 </t>
  </si>
  <si>
    <t xml:space="preserve"> -4,2 </t>
  </si>
  <si>
    <t xml:space="preserve"> 3,3 </t>
  </si>
  <si>
    <t xml:space="preserve"> 6,4 </t>
  </si>
  <si>
    <t xml:space="preserve"> 1,9 </t>
  </si>
  <si>
    <t xml:space="preserve"> 93,5 </t>
  </si>
  <si>
    <t xml:space="preserve"> 735183482 </t>
  </si>
  <si>
    <t xml:space="preserve"> 441110089 </t>
  </si>
  <si>
    <t xml:space="preserve"> 419393147 </t>
  </si>
  <si>
    <t xml:space="preserve"> 130,7 </t>
  </si>
  <si>
    <t xml:space="preserve"> 202995385 </t>
  </si>
  <si>
    <t xml:space="preserve"> БЕКОБОД Ф/Х </t>
  </si>
  <si>
    <t xml:space="preserve"> 53,2 </t>
  </si>
  <si>
    <t xml:space="preserve"> 64,3 </t>
  </si>
  <si>
    <t xml:space="preserve"> 3,1 </t>
  </si>
  <si>
    <t xml:space="preserve"> 221,4 </t>
  </si>
  <si>
    <t xml:space="preserve"> 1740434526 </t>
  </si>
  <si>
    <t xml:space="preserve"> 1044260716 </t>
  </si>
  <si>
    <t xml:space="preserve"> 1004665000 </t>
  </si>
  <si>
    <t xml:space="preserve"> 42,6 </t>
  </si>
  <si>
    <t xml:space="preserve"> 262,2 </t>
  </si>
  <si>
    <t xml:space="preserve"> 203104804 </t>
  </si>
  <si>
    <t xml:space="preserve"> ФХ "SOBIR ALLABERGAN" </t>
  </si>
  <si>
    <t xml:space="preserve"> 36,0 </t>
  </si>
  <si>
    <t xml:space="preserve"> 38,3 </t>
  </si>
  <si>
    <t xml:space="preserve"> 26,5 </t>
  </si>
  <si>
    <t xml:space="preserve"> 11,8 </t>
  </si>
  <si>
    <t xml:space="preserve"> 105,1 </t>
  </si>
  <si>
    <t xml:space="preserve"> 826681438 </t>
  </si>
  <si>
    <t xml:space="preserve"> 496008863 </t>
  </si>
  <si>
    <t xml:space="preserve"> 475303100 </t>
  </si>
  <si>
    <t xml:space="preserve"> 52,7 </t>
  </si>
  <si>
    <t xml:space="preserve"> 201,9 </t>
  </si>
  <si>
    <t xml:space="preserve"> 203104843 </t>
  </si>
  <si>
    <t xml:space="preserve"> DARGALAR ФЕРМЕР ХУЖАЛИГИ </t>
  </si>
  <si>
    <t xml:space="preserve"> 11,1 </t>
  </si>
  <si>
    <t xml:space="preserve"> -6,9 </t>
  </si>
  <si>
    <t xml:space="preserve"> 5,7 </t>
  </si>
  <si>
    <t xml:space="preserve"> 2,4 </t>
  </si>
  <si>
    <t xml:space="preserve"> 3,0 </t>
  </si>
  <si>
    <t xml:space="preserve"> 55,0 </t>
  </si>
  <si>
    <t xml:space="preserve"> 432292070 </t>
  </si>
  <si>
    <t xml:space="preserve"> 259375242 </t>
  </si>
  <si>
    <t xml:space="preserve"> 241414267 </t>
  </si>
  <si>
    <t xml:space="preserve"> 50,4 </t>
  </si>
  <si>
    <t xml:space="preserve"> 56,1 </t>
  </si>
  <si>
    <t xml:space="preserve"> 203105003 </t>
  </si>
  <si>
    <t xml:space="preserve"> MAMASOLOY ФЕРМЕР ХУЖАЛИГИ </t>
  </si>
  <si>
    <t xml:space="preserve"> 23,0 </t>
  </si>
  <si>
    <t xml:space="preserve"> 27,3 </t>
  </si>
  <si>
    <t xml:space="preserve"> 4,3 </t>
  </si>
  <si>
    <t xml:space="preserve"> 25,0 </t>
  </si>
  <si>
    <t xml:space="preserve"> 57,5 </t>
  </si>
  <si>
    <t xml:space="preserve"> 452175068 </t>
  </si>
  <si>
    <t xml:space="preserve"> 271305041 </t>
  </si>
  <si>
    <t xml:space="preserve"> 259966200 </t>
  </si>
  <si>
    <t xml:space="preserve"> 53,6 </t>
  </si>
  <si>
    <t xml:space="preserve"> 133,7 </t>
  </si>
  <si>
    <t xml:space="preserve"> 203230538 </t>
  </si>
  <si>
    <t xml:space="preserve"> МАТЕКУБ-ХУЖА ФЕРМЕР ХУЖАЛИГИ </t>
  </si>
  <si>
    <t xml:space="preserve"> 46,8 </t>
  </si>
  <si>
    <t xml:space="preserve"> 50,7 </t>
  </si>
  <si>
    <t xml:space="preserve"> 4,0 </t>
  </si>
  <si>
    <t xml:space="preserve"> 16,8 </t>
  </si>
  <si>
    <t xml:space="preserve"> 13,7 </t>
  </si>
  <si>
    <t xml:space="preserve"> 14,9 </t>
  </si>
  <si>
    <t xml:space="preserve"> 201,1 </t>
  </si>
  <si>
    <t xml:space="preserve"> 1581394128 </t>
  </si>
  <si>
    <t xml:space="preserve"> 948836477 </t>
  </si>
  <si>
    <t xml:space="preserve"> 909621725 </t>
  </si>
  <si>
    <t xml:space="preserve"> 50,0 </t>
  </si>
  <si>
    <t xml:space="preserve"> 244,5 </t>
  </si>
  <si>
    <t xml:space="preserve"> 203240564 </t>
  </si>
  <si>
    <t xml:space="preserve"> БАРАКАТ Ф Х </t>
  </si>
  <si>
    <t xml:space="preserve"> 28,1 </t>
  </si>
  <si>
    <t xml:space="preserve"> 36,6 </t>
  </si>
  <si>
    <t xml:space="preserve"> 8,5 </t>
  </si>
  <si>
    <t xml:space="preserve"> 5,3 </t>
  </si>
  <si>
    <t xml:space="preserve"> 69,7 </t>
  </si>
  <si>
    <t xml:space="preserve"> 548185812 </t>
  </si>
  <si>
    <t xml:space="preserve"> 328911487 </t>
  </si>
  <si>
    <t xml:space="preserve"> 315187300 </t>
  </si>
  <si>
    <t xml:space="preserve"> 46,6 </t>
  </si>
  <si>
    <t xml:space="preserve"> 170,4 </t>
  </si>
  <si>
    <t xml:space="preserve"> 203240572 </t>
  </si>
  <si>
    <t xml:space="preserve"> РАЙИМ БОБОЖОН Ф Х </t>
  </si>
  <si>
    <t xml:space="preserve"> 52,4 </t>
  </si>
  <si>
    <t xml:space="preserve"> 1,7 </t>
  </si>
  <si>
    <t xml:space="preserve"> 31,7 </t>
  </si>
  <si>
    <t xml:space="preserve"> 20,5 </t>
  </si>
  <si>
    <t xml:space="preserve"> 174,3 </t>
  </si>
  <si>
    <t xml:space="preserve"> 1370244394 </t>
  </si>
  <si>
    <t xml:space="preserve"> 822146636 </t>
  </si>
  <si>
    <t xml:space="preserve"> 749015000 </t>
  </si>
  <si>
    <t xml:space="preserve"> 55,7 </t>
  </si>
  <si>
    <t xml:space="preserve"> 290,9 </t>
  </si>
  <si>
    <t xml:space="preserve"> 203240589 </t>
  </si>
  <si>
    <t xml:space="preserve"> МАНГУ Ф Х </t>
  </si>
  <si>
    <t xml:space="preserve"> 71,3 </t>
  </si>
  <si>
    <t xml:space="preserve"> 79,6 </t>
  </si>
  <si>
    <t xml:space="preserve"> 8,3 </t>
  </si>
  <si>
    <t xml:space="preserve"> 44,5 </t>
  </si>
  <si>
    <t xml:space="preserve"> 16,2 </t>
  </si>
  <si>
    <t xml:space="preserve"> 9,6 </t>
  </si>
  <si>
    <t xml:space="preserve"> 8,0 </t>
  </si>
  <si>
    <t xml:space="preserve"> 194,7 </t>
  </si>
  <si>
    <t xml:space="preserve"> 1530495540 </t>
  </si>
  <si>
    <t xml:space="preserve"> 918297324 </t>
  </si>
  <si>
    <t xml:space="preserve"> 880134850 </t>
  </si>
  <si>
    <t xml:space="preserve"> 300,6 </t>
  </si>
  <si>
    <t xml:space="preserve"> 203498077 </t>
  </si>
  <si>
    <t xml:space="preserve"> ФЕРМЕРСКОЕ ХОЗЯЙСТВО "MATYOQUB OTA" </t>
  </si>
  <si>
    <t xml:space="preserve"> 40,0 </t>
  </si>
  <si>
    <t xml:space="preserve"> 48,8 </t>
  </si>
  <si>
    <t xml:space="preserve"> 8,8 </t>
  </si>
  <si>
    <t xml:space="preserve"> 24,7 </t>
  </si>
  <si>
    <t xml:space="preserve"> 19,8 </t>
  </si>
  <si>
    <t xml:space="preserve"> 4,2 </t>
  </si>
  <si>
    <t xml:space="preserve"> 157,8 </t>
  </si>
  <si>
    <t xml:space="preserve"> 1240403464 </t>
  </si>
  <si>
    <t xml:space="preserve"> 744242078 </t>
  </si>
  <si>
    <t xml:space="preserve"> 672360396 </t>
  </si>
  <si>
    <t xml:space="preserve"> 51,7 </t>
  </si>
  <si>
    <t xml:space="preserve"> 251,8 </t>
  </si>
  <si>
    <t xml:space="preserve"> 203504582 </t>
  </si>
  <si>
    <t xml:space="preserve"> ФЕРМЕРСКОЕ ХОЗЯЙСТВО "AZAMAT" </t>
  </si>
  <si>
    <t xml:space="preserve"> 27,0 </t>
  </si>
  <si>
    <t xml:space="preserve"> 32,0 </t>
  </si>
  <si>
    <t xml:space="preserve"> 5,0 </t>
  </si>
  <si>
    <t xml:space="preserve"> 27,6 </t>
  </si>
  <si>
    <t xml:space="preserve"> 105,0 </t>
  </si>
  <si>
    <t xml:space="preserve"> 825816618 </t>
  </si>
  <si>
    <t xml:space="preserve"> 495489971 </t>
  </si>
  <si>
    <t xml:space="preserve"> 478925000 </t>
  </si>
  <si>
    <t xml:space="preserve"> 42,8 </t>
  </si>
  <si>
    <t xml:space="preserve"> 118,2 </t>
  </si>
  <si>
    <t xml:space="preserve"> 203564604 </t>
  </si>
  <si>
    <t xml:space="preserve"> ФЕРМЕРСКОЕ ХОЗЯЙСТВО "BEKCHAN BOBO" </t>
  </si>
  <si>
    <t xml:space="preserve"> 21,0 </t>
  </si>
  <si>
    <t xml:space="preserve"> 62,8 </t>
  </si>
  <si>
    <t xml:space="preserve"> 493607808 </t>
  </si>
  <si>
    <t xml:space="preserve"> 296164685 </t>
  </si>
  <si>
    <t xml:space="preserve"> 283757000 </t>
  </si>
  <si>
    <t xml:space="preserve"> 47,0 </t>
  </si>
  <si>
    <t xml:space="preserve"> 96,7 </t>
  </si>
  <si>
    <t xml:space="preserve"> 203595606 </t>
  </si>
  <si>
    <t xml:space="preserve"> СУЛТОН БОБО ФЕРМЕР ХУЖАЛИГИ </t>
  </si>
  <si>
    <t xml:space="preserve"> 45,0 </t>
  </si>
  <si>
    <t xml:space="preserve"> 54,2 </t>
  </si>
  <si>
    <t xml:space="preserve"> 9,2 </t>
  </si>
  <si>
    <t xml:space="preserve"> 16,0 </t>
  </si>
  <si>
    <t xml:space="preserve"> 21,5 </t>
  </si>
  <si>
    <t xml:space="preserve"> 9,1 </t>
  </si>
  <si>
    <t xml:space="preserve"> 7,9 </t>
  </si>
  <si>
    <t xml:space="preserve"> 149,9 </t>
  </si>
  <si>
    <t xml:space="preserve"> 1178655316 </t>
  </si>
  <si>
    <t xml:space="preserve"> 707193190 </t>
  </si>
  <si>
    <t xml:space="preserve"> 682408300 </t>
  </si>
  <si>
    <t xml:space="preserve"> 276,5 </t>
  </si>
  <si>
    <t xml:space="preserve"> 203596414 </t>
  </si>
  <si>
    <t xml:space="preserve"> ЭРХОН ФЕРМЕР ХУЖАЛИГИ </t>
  </si>
  <si>
    <t xml:space="preserve"> 42,5 </t>
  </si>
  <si>
    <t xml:space="preserve"> -7,5 </t>
  </si>
  <si>
    <t xml:space="preserve"> 30,1 </t>
  </si>
  <si>
    <t xml:space="preserve"> 7,3 </t>
  </si>
  <si>
    <t xml:space="preserve"> 1,3 </t>
  </si>
  <si>
    <t xml:space="preserve"> 219,0 </t>
  </si>
  <si>
    <t xml:space="preserve"> 1721770138 </t>
  </si>
  <si>
    <t xml:space="preserve"> 1033062083 </t>
  </si>
  <si>
    <t xml:space="preserve"> 981284816 </t>
  </si>
  <si>
    <t xml:space="preserve"> 170,2 </t>
  </si>
  <si>
    <t xml:space="preserve"> 203603927 </t>
  </si>
  <si>
    <t xml:space="preserve"> САИД БОБО ФЕРМЕР ХУЖАЛИГИ </t>
  </si>
  <si>
    <t xml:space="preserve"> 40,5 </t>
  </si>
  <si>
    <t xml:space="preserve"> 2,1 </t>
  </si>
  <si>
    <t xml:space="preserve"> 2,0 </t>
  </si>
  <si>
    <t xml:space="preserve"> 148,8 </t>
  </si>
  <si>
    <t xml:space="preserve"> 1169614016 </t>
  </si>
  <si>
    <t xml:space="preserve"> 701768410 </t>
  </si>
  <si>
    <t xml:space="preserve"> 672140000 </t>
  </si>
  <si>
    <t xml:space="preserve"> 53,1 </t>
  </si>
  <si>
    <t xml:space="preserve"> 236,5 </t>
  </si>
  <si>
    <t xml:space="preserve"> 203608151 </t>
  </si>
  <si>
    <t xml:space="preserve"> ХОЛИДА ФЕРМЕР ХУЖАЛИГИ </t>
  </si>
  <si>
    <t xml:space="preserve"> 41,0 </t>
  </si>
  <si>
    <t xml:space="preserve"> 41,2 </t>
  </si>
  <si>
    <t xml:space="preserve"> 0,2 </t>
  </si>
  <si>
    <t xml:space="preserve"> 31,8 </t>
  </si>
  <si>
    <t xml:space="preserve"> 98,5 </t>
  </si>
  <si>
    <t xml:space="preserve"> 774029624 </t>
  </si>
  <si>
    <t xml:space="preserve"> 464417774 </t>
  </si>
  <si>
    <t xml:space="preserve"> 433228500 </t>
  </si>
  <si>
    <t xml:space="preserve"> 190,8 </t>
  </si>
  <si>
    <t xml:space="preserve"> 203828607 </t>
  </si>
  <si>
    <t xml:space="preserve"> ЭГАМ ТОТ Ф Х </t>
  </si>
  <si>
    <t xml:space="preserve"> 0,4 </t>
  </si>
  <si>
    <t xml:space="preserve"> 44,3 </t>
  </si>
  <si>
    <t xml:space="preserve"> 6,1 </t>
  </si>
  <si>
    <t xml:space="preserve"> 145,7 </t>
  </si>
  <si>
    <t xml:space="preserve"> 1145469814 </t>
  </si>
  <si>
    <t xml:space="preserve"> 687281888 </t>
  </si>
  <si>
    <t xml:space="preserve"> 652731000 </t>
  </si>
  <si>
    <t xml:space="preserve"> 55,2 </t>
  </si>
  <si>
    <t xml:space="preserve"> 278,0 </t>
  </si>
  <si>
    <t xml:space="preserve"> 203890438 </t>
  </si>
  <si>
    <t xml:space="preserve"> ДАВЛАТ-РАХМАТУЛЛА ФЕРМЕР ХУЖАЛИГИ </t>
  </si>
  <si>
    <t xml:space="preserve"> 40,8 </t>
  </si>
  <si>
    <t xml:space="preserve"> 23,7 </t>
  </si>
  <si>
    <t xml:space="preserve"> -17,1 </t>
  </si>
  <si>
    <t xml:space="preserve"> 110,7 </t>
  </si>
  <si>
    <t xml:space="preserve"> 870252642 </t>
  </si>
  <si>
    <t xml:space="preserve"> 522151585 </t>
  </si>
  <si>
    <t xml:space="preserve"> 500366000 </t>
  </si>
  <si>
    <t xml:space="preserve"> 54,6 </t>
  </si>
  <si>
    <t xml:space="preserve"> 129,2 </t>
  </si>
  <si>
    <t xml:space="preserve"> 203957257 </t>
  </si>
  <si>
    <t xml:space="preserve"> ОЙБЕК ОВЧИ ФЕРМЕР ХУЖАЛИГИ </t>
  </si>
  <si>
    <t xml:space="preserve"> 85,3 </t>
  </si>
  <si>
    <t xml:space="preserve"> 84,7 </t>
  </si>
  <si>
    <t xml:space="preserve"> -0,6 </t>
  </si>
  <si>
    <t xml:space="preserve"> 83,7 </t>
  </si>
  <si>
    <t xml:space="preserve"> 230,4 </t>
  </si>
  <si>
    <t xml:space="preserve"> 1811129630 </t>
  </si>
  <si>
    <t xml:space="preserve"> 1086677778 </t>
  </si>
  <si>
    <t xml:space="preserve"> 1032331600 </t>
  </si>
  <si>
    <t xml:space="preserve"> 51,6 </t>
  </si>
  <si>
    <t xml:space="preserve"> 432,2 </t>
  </si>
  <si>
    <t xml:space="preserve"> 203981284 </t>
  </si>
  <si>
    <t xml:space="preserve"> SHERALI-SHERZOD ФЕРМЕР ХУЖАЛИГИ </t>
  </si>
  <si>
    <t xml:space="preserve"> 34,7 </t>
  </si>
  <si>
    <t xml:space="preserve"> 5,8 </t>
  </si>
  <si>
    <t xml:space="preserve"> 135,1 </t>
  </si>
  <si>
    <t xml:space="preserve"> 1062140476 </t>
  </si>
  <si>
    <t xml:space="preserve"> 637284286 </t>
  </si>
  <si>
    <t xml:space="preserve"> 626616382 </t>
  </si>
  <si>
    <t xml:space="preserve"> 54,9 </t>
  </si>
  <si>
    <t xml:space="preserve"> 222,4 </t>
  </si>
  <si>
    <t xml:space="preserve"> 204006964 </t>
  </si>
  <si>
    <t xml:space="preserve"> НОДИРА ГУЛНОРА ФЕРМЕР ХУЖАЛИГИ </t>
  </si>
  <si>
    <t xml:space="preserve"> 33,0 </t>
  </si>
  <si>
    <t xml:space="preserve"> 33,5 </t>
  </si>
  <si>
    <t xml:space="preserve"> 0,5 </t>
  </si>
  <si>
    <t xml:space="preserve"> 15,4 </t>
  </si>
  <si>
    <t xml:space="preserve"> 15,2 </t>
  </si>
  <si>
    <t xml:space="preserve"> 138,9 </t>
  </si>
  <si>
    <t xml:space="preserve"> 1092078972 </t>
  </si>
  <si>
    <t xml:space="preserve"> 655247383 </t>
  </si>
  <si>
    <t xml:space="preserve"> 624690460 </t>
  </si>
  <si>
    <t xml:space="preserve"> 45,8 </t>
  </si>
  <si>
    <t xml:space="preserve"> 140,4 </t>
  </si>
  <si>
    <t xml:space="preserve"> 204483713 </t>
  </si>
  <si>
    <t xml:space="preserve"> AZIZBEK MATONAT ФЕРМЕР ХУЖАЛИГИ </t>
  </si>
  <si>
    <t xml:space="preserve"> 55,1 </t>
  </si>
  <si>
    <t xml:space="preserve"> 61,5 </t>
  </si>
  <si>
    <t xml:space="preserve"> 60,6 </t>
  </si>
  <si>
    <t xml:space="preserve"> 149,1 </t>
  </si>
  <si>
    <t xml:space="preserve"> 1172239924 </t>
  </si>
  <si>
    <t xml:space="preserve"> 703343954 </t>
  </si>
  <si>
    <t xml:space="preserve"> 666357000 </t>
  </si>
  <si>
    <t xml:space="preserve"> 204491237 </t>
  </si>
  <si>
    <t xml:space="preserve"> ЮЛДАШ-НОДИР ФЕРМЕР ХУЖАЛИГИ </t>
  </si>
  <si>
    <t xml:space="preserve"> 46,9 </t>
  </si>
  <si>
    <t xml:space="preserve"> 14,0 </t>
  </si>
  <si>
    <t xml:space="preserve"> 30,6 </t>
  </si>
  <si>
    <t xml:space="preserve"> 144,1 </t>
  </si>
  <si>
    <t xml:space="preserve"> 1133260128 </t>
  </si>
  <si>
    <t xml:space="preserve"> 679956077 </t>
  </si>
  <si>
    <t xml:space="preserve"> 603640475 </t>
  </si>
  <si>
    <t xml:space="preserve"> 43,6 </t>
  </si>
  <si>
    <t xml:space="preserve"> 204,5 </t>
  </si>
  <si>
    <t xml:space="preserve"> 204666168 </t>
  </si>
  <si>
    <t xml:space="preserve"> ФЕРМЕРСКОЕ ХОЗЯЙСТВО "KARIMOV AXMAD" </t>
  </si>
  <si>
    <t xml:space="preserve"> 47,1 </t>
  </si>
  <si>
    <t xml:space="preserve"> 58,7 </t>
  </si>
  <si>
    <t xml:space="preserve"> 11,6 </t>
  </si>
  <si>
    <t xml:space="preserve"> 36,9 </t>
  </si>
  <si>
    <t xml:space="preserve"> 18,1 </t>
  </si>
  <si>
    <t xml:space="preserve"> 190,1 </t>
  </si>
  <si>
    <t xml:space="preserve"> 1494747026 </t>
  </si>
  <si>
    <t xml:space="preserve"> 896848216 </t>
  </si>
  <si>
    <t xml:space="preserve"> 866902968 </t>
  </si>
  <si>
    <t xml:space="preserve"> 292,7 </t>
  </si>
  <si>
    <t xml:space="preserve"> 204683203 </t>
  </si>
  <si>
    <t xml:space="preserve"> СУЛТОН-ТАННОВ Ф/Х </t>
  </si>
  <si>
    <t xml:space="preserve"> 6,5 </t>
  </si>
  <si>
    <t xml:space="preserve"> 61,3 </t>
  </si>
  <si>
    <t xml:space="preserve"> 203,2 </t>
  </si>
  <si>
    <t xml:space="preserve"> 1597880742 </t>
  </si>
  <si>
    <t xml:space="preserve"> 958728445 </t>
  </si>
  <si>
    <t xml:space="preserve"> 914588537 </t>
  </si>
  <si>
    <t xml:space="preserve"> 43,1 </t>
  </si>
  <si>
    <t xml:space="preserve"> 264,3 </t>
  </si>
  <si>
    <t xml:space="preserve"> 204695780 </t>
  </si>
  <si>
    <t xml:space="preserve"> DILSHODBEK UMRBEK ФХ </t>
  </si>
  <si>
    <t xml:space="preserve"> 38,1 </t>
  </si>
  <si>
    <t xml:space="preserve"> 7,1 </t>
  </si>
  <si>
    <t xml:space="preserve"> 42,4 </t>
  </si>
  <si>
    <t xml:space="preserve"> 2,6 </t>
  </si>
  <si>
    <t xml:space="preserve"> 133,6 </t>
  </si>
  <si>
    <t xml:space="preserve"> 1050410372 </t>
  </si>
  <si>
    <t xml:space="preserve"> 630246223 </t>
  </si>
  <si>
    <t xml:space="preserve"> 598505210 </t>
  </si>
  <si>
    <t xml:space="preserve"> 56,0 </t>
  </si>
  <si>
    <t xml:space="preserve"> 252,0 </t>
  </si>
  <si>
    <t xml:space="preserve"> 204695797 </t>
  </si>
  <si>
    <t xml:space="preserve"> SOPO OTA XOJI ФХ </t>
  </si>
  <si>
    <t xml:space="preserve"> 48,0 </t>
  </si>
  <si>
    <t xml:space="preserve"> 46,0 </t>
  </si>
  <si>
    <t xml:space="preserve"> -2,0 </t>
  </si>
  <si>
    <t xml:space="preserve"> 47,8 </t>
  </si>
  <si>
    <t xml:space="preserve"> 165,2 </t>
  </si>
  <si>
    <t xml:space="preserve"> 1298943916 </t>
  </si>
  <si>
    <t xml:space="preserve"> 779366350 </t>
  </si>
  <si>
    <t xml:space="preserve"> 737220925 </t>
  </si>
  <si>
    <t xml:space="preserve"> 58,8 </t>
  </si>
  <si>
    <t xml:space="preserve"> 280,8 </t>
  </si>
  <si>
    <t xml:space="preserve"> 205393516 </t>
  </si>
  <si>
    <t xml:space="preserve"> GANJA ARAVALI ФЕРМЕР ХУЖАЛИГИ </t>
  </si>
  <si>
    <t xml:space="preserve"> 39,1 </t>
  </si>
  <si>
    <t xml:space="preserve"> 25,3 </t>
  </si>
  <si>
    <t xml:space="preserve"> 11,9 </t>
  </si>
  <si>
    <t xml:space="preserve"> 118,3 </t>
  </si>
  <si>
    <t xml:space="preserve"> 929783706 </t>
  </si>
  <si>
    <t xml:space="preserve"> 557870224 </t>
  </si>
  <si>
    <t xml:space="preserve"> 493623733 </t>
  </si>
  <si>
    <t xml:space="preserve"> 53,7 </t>
  </si>
  <si>
    <t xml:space="preserve"> 199,4 </t>
  </si>
  <si>
    <t xml:space="preserve"> 205412094 </t>
  </si>
  <si>
    <t xml:space="preserve"> NURULLA SAFARBOY ФЕРЕР ХУЖАЛИГИ </t>
  </si>
  <si>
    <t xml:space="preserve"> 22,2 </t>
  </si>
  <si>
    <t xml:space="preserve"> -0,8 </t>
  </si>
  <si>
    <t xml:space="preserve"> 22,3 </t>
  </si>
  <si>
    <t xml:space="preserve"> 73,2 </t>
  </si>
  <si>
    <t xml:space="preserve"> 575860052 </t>
  </si>
  <si>
    <t xml:space="preserve"> 345516031 </t>
  </si>
  <si>
    <t xml:space="preserve"> 330167000 </t>
  </si>
  <si>
    <t xml:space="preserve"> 104,5 </t>
  </si>
  <si>
    <t xml:space="preserve"> 205422240 </t>
  </si>
  <si>
    <t xml:space="preserve"> ХУРСАНД-ОГАБЕК ФЕРМЕР ХУЖАЛИГИ </t>
  </si>
  <si>
    <t xml:space="preserve"> 1,0 </t>
  </si>
  <si>
    <t xml:space="preserve"> 35,5 </t>
  </si>
  <si>
    <t xml:space="preserve"> 145,6 </t>
  </si>
  <si>
    <t xml:space="preserve"> 1144754372 </t>
  </si>
  <si>
    <t xml:space="preserve"> 686852623 </t>
  </si>
  <si>
    <t xml:space="preserve"> 658337873 </t>
  </si>
  <si>
    <t xml:space="preserve"> 57,9 </t>
  </si>
  <si>
    <t xml:space="preserve"> 271,2 </t>
  </si>
  <si>
    <t xml:space="preserve"> 205436190 </t>
  </si>
  <si>
    <t xml:space="preserve"> ОМАД ЧОРВАДОР ФЕРМЕР ХУЖАЛИГИ </t>
  </si>
  <si>
    <t xml:space="preserve"> 75,0 </t>
  </si>
  <si>
    <t xml:space="preserve"> 78,5 </t>
  </si>
  <si>
    <t xml:space="preserve"> 4,5 </t>
  </si>
  <si>
    <t xml:space="preserve"> 260,7 </t>
  </si>
  <si>
    <t xml:space="preserve"> 2049922156 </t>
  </si>
  <si>
    <t xml:space="preserve"> 1229953294 </t>
  </si>
  <si>
    <t xml:space="preserve"> 1147801300 </t>
  </si>
  <si>
    <t xml:space="preserve"> 51,0 </t>
  </si>
  <si>
    <t xml:space="preserve"> 423,5 </t>
  </si>
  <si>
    <t xml:space="preserve"> 205440987 </t>
  </si>
  <si>
    <t xml:space="preserve"> RO`ZIMBOY AZIMBOY KO`NA ФХ </t>
  </si>
  <si>
    <t xml:space="preserve"> 37,8 </t>
  </si>
  <si>
    <t xml:space="preserve"> 44,2 </t>
  </si>
  <si>
    <t xml:space="preserve"> 141,9 </t>
  </si>
  <si>
    <t xml:space="preserve"> 1115381940 </t>
  </si>
  <si>
    <t xml:space="preserve"> 669229164 </t>
  </si>
  <si>
    <t xml:space="preserve"> 608091100 </t>
  </si>
  <si>
    <t xml:space="preserve"> 54,8 </t>
  </si>
  <si>
    <t xml:space="preserve"> 242,6 </t>
  </si>
  <si>
    <t xml:space="preserve"> 205446582 </t>
  </si>
  <si>
    <t xml:space="preserve"> КУРОНБОЕВ ИНОЯТ ФЕРМЕР ХУЖАЛИГИ </t>
  </si>
  <si>
    <t xml:space="preserve"> 58,4 </t>
  </si>
  <si>
    <t xml:space="preserve"> 30,7 </t>
  </si>
  <si>
    <t xml:space="preserve"> 21,8 </t>
  </si>
  <si>
    <t xml:space="preserve"> 5,9 </t>
  </si>
  <si>
    <t xml:space="preserve"> 180,4 </t>
  </si>
  <si>
    <t xml:space="preserve"> 1417958872 </t>
  </si>
  <si>
    <t xml:space="preserve"> 850775323 </t>
  </si>
  <si>
    <t xml:space="preserve"> 763595000 </t>
  </si>
  <si>
    <t xml:space="preserve"> 304,4 </t>
  </si>
  <si>
    <t xml:space="preserve"> 205468531 </t>
  </si>
  <si>
    <t xml:space="preserve"> AXMAD MASHARIPOV ФЕРМЕР ХУЖАЛИГИ </t>
  </si>
  <si>
    <t xml:space="preserve"> 39,7 </t>
  </si>
  <si>
    <t xml:space="preserve"> 9,7 </t>
  </si>
  <si>
    <t xml:space="preserve"> 17,1 </t>
  </si>
  <si>
    <t xml:space="preserve"> 22,6 </t>
  </si>
  <si>
    <t xml:space="preserve"> 87,4 </t>
  </si>
  <si>
    <t xml:space="preserve"> 687099490 </t>
  </si>
  <si>
    <t xml:space="preserve"> 412259694 </t>
  </si>
  <si>
    <t xml:space="preserve"> 392635000 </t>
  </si>
  <si>
    <t xml:space="preserve"> 52,9 </t>
  </si>
  <si>
    <t xml:space="preserve"> 210,0 </t>
  </si>
  <si>
    <t xml:space="preserve"> 205468610 </t>
  </si>
  <si>
    <t xml:space="preserve"> КАРИМ-МАВЛОН-ЖАВЛОНБЕК Ф Х </t>
  </si>
  <si>
    <t xml:space="preserve"> 47,4 </t>
  </si>
  <si>
    <t xml:space="preserve"> 4,4 </t>
  </si>
  <si>
    <t xml:space="preserve"> 149,2 </t>
  </si>
  <si>
    <t xml:space="preserve"> 1172994676 </t>
  </si>
  <si>
    <t xml:space="preserve"> 703796806 </t>
  </si>
  <si>
    <t xml:space="preserve"> 685217300 </t>
  </si>
  <si>
    <t xml:space="preserve"> 48,9 </t>
  </si>
  <si>
    <t xml:space="preserve"> 246,1 </t>
  </si>
  <si>
    <t xml:space="preserve"> 205856935 </t>
  </si>
  <si>
    <t xml:space="preserve"> ФХ "NURMUHAMMAD FERUZ" </t>
  </si>
  <si>
    <t xml:space="preserve"> 40,2 </t>
  </si>
  <si>
    <t xml:space="preserve"> 14,5 </t>
  </si>
  <si>
    <t xml:space="preserve"> 102,8 </t>
  </si>
  <si>
    <t xml:space="preserve"> 808252910 </t>
  </si>
  <si>
    <t xml:space="preserve"> 484951746 </t>
  </si>
  <si>
    <t xml:space="preserve"> 446703592 </t>
  </si>
  <si>
    <t xml:space="preserve"> 266,9 </t>
  </si>
  <si>
    <t xml:space="preserve"> 206231074 </t>
  </si>
  <si>
    <t xml:space="preserve"> ШЕРЗОД ХАМДАМ ФЕРМЕР ХУЖАЛИГИ </t>
  </si>
  <si>
    <t xml:space="preserve"> 103,4 </t>
  </si>
  <si>
    <t xml:space="preserve"> 812860042 </t>
  </si>
  <si>
    <t xml:space="preserve"> 487716025 </t>
  </si>
  <si>
    <t xml:space="preserve"> 467379300 </t>
  </si>
  <si>
    <t xml:space="preserve"> 50,8 </t>
  </si>
  <si>
    <t xml:space="preserve"> 184,1 </t>
  </si>
  <si>
    <t xml:space="preserve"> 206394782 </t>
  </si>
  <si>
    <t xml:space="preserve"> ЖУМАНИЯЗОВ-ОТАХОН БОГБОН ФЕРМЕР ХУЖАЛИГИ </t>
  </si>
  <si>
    <t xml:space="preserve"> 64,1 </t>
  </si>
  <si>
    <t xml:space="preserve"> 61,7 </t>
  </si>
  <si>
    <t xml:space="preserve"> -2,4 </t>
  </si>
  <si>
    <t xml:space="preserve"> 38,7 </t>
  </si>
  <si>
    <t xml:space="preserve"> 21,3 </t>
  </si>
  <si>
    <t xml:space="preserve"> 1,5 </t>
  </si>
  <si>
    <t xml:space="preserve"> 2,5 </t>
  </si>
  <si>
    <t xml:space="preserve"> 214,2 </t>
  </si>
  <si>
    <t xml:space="preserve"> 1684268398 </t>
  </si>
  <si>
    <t xml:space="preserve"> 1010561039 </t>
  </si>
  <si>
    <t xml:space="preserve"> 915542300 </t>
  </si>
  <si>
    <t xml:space="preserve"> 353,1 </t>
  </si>
  <si>
    <t xml:space="preserve"> 206394878 </t>
  </si>
  <si>
    <t xml:space="preserve"> ФХ "CHOLISH SARDORI" </t>
  </si>
  <si>
    <t xml:space="preserve"> 60,1 </t>
  </si>
  <si>
    <t xml:space="preserve"> 10,1 </t>
  </si>
  <si>
    <t xml:space="preserve"> 8,2 </t>
  </si>
  <si>
    <t xml:space="preserve"> 171,7 </t>
  </si>
  <si>
    <t xml:space="preserve"> 1349811056 </t>
  </si>
  <si>
    <t xml:space="preserve"> 809886634 </t>
  </si>
  <si>
    <t xml:space="preserve"> 684240100 </t>
  </si>
  <si>
    <t xml:space="preserve"> 319,9 </t>
  </si>
  <si>
    <t xml:space="preserve"> 300742097 </t>
  </si>
  <si>
    <t xml:space="preserve"> ТИНЧЛИК УРГАНЧ ФЕРМЕР ХУЖАЛИГИ </t>
  </si>
  <si>
    <t xml:space="preserve"> 70,0 </t>
  </si>
  <si>
    <t xml:space="preserve"> 77,4 </t>
  </si>
  <si>
    <t xml:space="preserve"> 76,3 </t>
  </si>
  <si>
    <t xml:space="preserve"> 218,5 </t>
  </si>
  <si>
    <t xml:space="preserve"> 1718059274 </t>
  </si>
  <si>
    <t xml:space="preserve"> 1030835564 </t>
  </si>
  <si>
    <t xml:space="preserve"> 992334319 </t>
  </si>
  <si>
    <t xml:space="preserve"> 386,5 </t>
  </si>
  <si>
    <t xml:space="preserve"> 300806364 </t>
  </si>
  <si>
    <t xml:space="preserve"> ОЙБЕК-РАЪНО ФЕРМЕР ХУЖАЛИГИ </t>
  </si>
  <si>
    <t xml:space="preserve"> 65,0 </t>
  </si>
  <si>
    <t xml:space="preserve"> 67,9 </t>
  </si>
  <si>
    <t xml:space="preserve"> 2,8 </t>
  </si>
  <si>
    <t xml:space="preserve"> 29,3 </t>
  </si>
  <si>
    <t xml:space="preserve"> 38,6 </t>
  </si>
  <si>
    <t xml:space="preserve"> 159,2 </t>
  </si>
  <si>
    <t xml:space="preserve"> 1251504608 </t>
  </si>
  <si>
    <t xml:space="preserve"> 750902765 </t>
  </si>
  <si>
    <t xml:space="preserve"> 685961637 </t>
  </si>
  <si>
    <t xml:space="preserve"> 367,8 </t>
  </si>
  <si>
    <t xml:space="preserve"> 301489750 </t>
  </si>
  <si>
    <t xml:space="preserve"> "SOPORBOY MIRISHKOR" FERMER XO‘JALIGI </t>
  </si>
  <si>
    <t xml:space="preserve"> 59,9 </t>
  </si>
  <si>
    <t xml:space="preserve"> 67,3 </t>
  </si>
  <si>
    <t xml:space="preserve"> 7,4 </t>
  </si>
  <si>
    <t xml:space="preserve"> 203,3 </t>
  </si>
  <si>
    <t xml:space="preserve"> 1598179498 </t>
  </si>
  <si>
    <t xml:space="preserve"> 958907699 </t>
  </si>
  <si>
    <t xml:space="preserve"> 0 </t>
  </si>
  <si>
    <t xml:space="preserve"> 344,1 </t>
  </si>
  <si>
    <t xml:space="preserve"> 301560506 </t>
  </si>
  <si>
    <t xml:space="preserve"> JUMANAZAR BOYNAZAR ФЕРМЕР ХУЖАЛИГИ </t>
  </si>
  <si>
    <t xml:space="preserve"> 45,7 </t>
  </si>
  <si>
    <t xml:space="preserve"> 42,3 </t>
  </si>
  <si>
    <t xml:space="preserve"> -3,4 </t>
  </si>
  <si>
    <t xml:space="preserve"> 137,2 </t>
  </si>
  <si>
    <t xml:space="preserve"> 1078847226 </t>
  </si>
  <si>
    <t xml:space="preserve"> 647308336 </t>
  </si>
  <si>
    <t xml:space="preserve"> 624922453 </t>
  </si>
  <si>
    <t xml:space="preserve"> 55,3 </t>
  </si>
  <si>
    <t xml:space="preserve"> 259,1 </t>
  </si>
  <si>
    <t xml:space="preserve"> 301911700 </t>
  </si>
  <si>
    <t xml:space="preserve"> RAXIMBOY G OYBU ФЕРМЕР ХУЖАЛИГИ </t>
  </si>
  <si>
    <t xml:space="preserve"> 53,4 </t>
  </si>
  <si>
    <t xml:space="preserve"> 34,3 </t>
  </si>
  <si>
    <t xml:space="preserve"> -19,0 </t>
  </si>
  <si>
    <t xml:space="preserve"> 24,9 </t>
  </si>
  <si>
    <t xml:space="preserve"> 7,6 </t>
  </si>
  <si>
    <t xml:space="preserve"> 140,8 </t>
  </si>
  <si>
    <t xml:space="preserve"> 1107354838 </t>
  </si>
  <si>
    <t xml:space="preserve"> 664412903 </t>
  </si>
  <si>
    <t xml:space="preserve"> 641076434 </t>
  </si>
  <si>
    <t xml:space="preserve"> 119,8 </t>
  </si>
  <si>
    <t xml:space="preserve"> 302255740 </t>
  </si>
  <si>
    <t xml:space="preserve"> ERGASH ZUXRA ФЕРМЕР ХУЖАЛИГИ </t>
  </si>
  <si>
    <t xml:space="preserve"> 35,3 </t>
  </si>
  <si>
    <t xml:space="preserve"> 23,5 </t>
  </si>
  <si>
    <t xml:space="preserve"> 150,8 </t>
  </si>
  <si>
    <t xml:space="preserve"> 1185896218 </t>
  </si>
  <si>
    <t xml:space="preserve"> 711537731 </t>
  </si>
  <si>
    <t xml:space="preserve"> 656974693 </t>
  </si>
  <si>
    <t xml:space="preserve"> 39,5 </t>
  </si>
  <si>
    <t xml:space="preserve"> 232,4 </t>
  </si>
  <si>
    <t xml:space="preserve"> 302351187 </t>
  </si>
  <si>
    <t xml:space="preserve"> DONIYOR MIRISHKOR ФЕРМЕР ХУЖАЛИГИ </t>
  </si>
  <si>
    <t xml:space="preserve"> 32,8 </t>
  </si>
  <si>
    <t xml:space="preserve"> 4,8 </t>
  </si>
  <si>
    <t xml:space="preserve"> 110,0 </t>
  </si>
  <si>
    <t xml:space="preserve"> 864521244 </t>
  </si>
  <si>
    <t xml:space="preserve"> 518712746 </t>
  </si>
  <si>
    <t xml:space="preserve"> 498399000 </t>
  </si>
  <si>
    <t xml:space="preserve"> 180,5 </t>
  </si>
  <si>
    <t xml:space="preserve"> 302564634 </t>
  </si>
  <si>
    <t xml:space="preserve"> QUVONDIQ SARDOR SALIMBOY ФЕРМЕР ХУЖАЛИГИ </t>
  </si>
  <si>
    <t xml:space="preserve"> 42,7 </t>
  </si>
  <si>
    <t xml:space="preserve"> 12,9 </t>
  </si>
  <si>
    <t xml:space="preserve"> 26,0 </t>
  </si>
  <si>
    <t xml:space="preserve"> 9,9 </t>
  </si>
  <si>
    <t xml:space="preserve"> 187,2 </t>
  </si>
  <si>
    <t xml:space="preserve"> 1471797848 </t>
  </si>
  <si>
    <t xml:space="preserve"> 883078709 </t>
  </si>
  <si>
    <t xml:space="preserve"> 867047050 </t>
  </si>
  <si>
    <t xml:space="preserve"> 49,1 </t>
  </si>
  <si>
    <t xml:space="preserve"> 234,5 </t>
  </si>
  <si>
    <t xml:space="preserve"> 302566339 </t>
  </si>
  <si>
    <t xml:space="preserve"> ISLOMBEK SHARIPOV ФХ </t>
  </si>
  <si>
    <t xml:space="preserve"> 30,0 </t>
  </si>
  <si>
    <t xml:space="preserve"> 41,3 </t>
  </si>
  <si>
    <t xml:space="preserve"> 11,3 </t>
  </si>
  <si>
    <t xml:space="preserve"> 109,9 </t>
  </si>
  <si>
    <t xml:space="preserve"> 863868698 </t>
  </si>
  <si>
    <t xml:space="preserve"> 518321219 </t>
  </si>
  <si>
    <t xml:space="preserve"> 500914400 </t>
  </si>
  <si>
    <t xml:space="preserve"> 50,3 </t>
  </si>
  <si>
    <t xml:space="preserve"> 207,4 </t>
  </si>
  <si>
    <t xml:space="preserve"> 302914584 </t>
  </si>
  <si>
    <t xml:space="preserve"> ABBOSBEK NODIRA ФХ </t>
  </si>
  <si>
    <t xml:space="preserve"> 40,1 </t>
  </si>
  <si>
    <t xml:space="preserve"> -6,5 </t>
  </si>
  <si>
    <t xml:space="preserve"> 33,6 </t>
  </si>
  <si>
    <t xml:space="preserve"> 148,1 </t>
  </si>
  <si>
    <t xml:space="preserve"> 1164102754 </t>
  </si>
  <si>
    <t xml:space="preserve"> 698461652 </t>
  </si>
  <si>
    <t xml:space="preserve"> 585454900 </t>
  </si>
  <si>
    <t xml:space="preserve"> 51,4 </t>
  </si>
  <si>
    <t xml:space="preserve"> 202,5 </t>
  </si>
  <si>
    <t xml:space="preserve"> 302916606 </t>
  </si>
  <si>
    <t xml:space="preserve"> OLLAYOR UMRBEK ФЕРМЕР ХУЖАЛИГИ </t>
  </si>
  <si>
    <t xml:space="preserve"> 5,5 </t>
  </si>
  <si>
    <t xml:space="preserve"> 193,6 </t>
  </si>
  <si>
    <t xml:space="preserve"> 1522059614 </t>
  </si>
  <si>
    <t xml:space="preserve"> 913235768 </t>
  </si>
  <si>
    <t xml:space="preserve"> 875291000 </t>
  </si>
  <si>
    <t xml:space="preserve"> 50,9 </t>
  </si>
  <si>
    <t xml:space="preserve"> 257,1 </t>
  </si>
  <si>
    <t xml:space="preserve"> 302920530 </t>
  </si>
  <si>
    <t xml:space="preserve"> "QADAMBOY BIBIJON" ФЕРМЕР ХУЖАЛИГИ </t>
  </si>
  <si>
    <t xml:space="preserve"> 50,2 </t>
  </si>
  <si>
    <t xml:space="preserve"> 141,5 </t>
  </si>
  <si>
    <t xml:space="preserve"> 1112079900 </t>
  </si>
  <si>
    <t xml:space="preserve"> 667247940 </t>
  </si>
  <si>
    <t xml:space="preserve"> 537523000 </t>
  </si>
  <si>
    <t xml:space="preserve"> 54,4 </t>
  </si>
  <si>
    <t xml:space="preserve"> 290,3 </t>
  </si>
  <si>
    <t xml:space="preserve"> 302963589 </t>
  </si>
  <si>
    <t xml:space="preserve"> "ZERIP MEXANIK" ФЕРМЕР ХУЖАЛИГИ </t>
  </si>
  <si>
    <t xml:space="preserve"> 21,2 </t>
  </si>
  <si>
    <t xml:space="preserve"> -3,3 </t>
  </si>
  <si>
    <t xml:space="preserve"> 0,7 </t>
  </si>
  <si>
    <t xml:space="preserve"> 93,0 </t>
  </si>
  <si>
    <t xml:space="preserve"> 730796486 </t>
  </si>
  <si>
    <t xml:space="preserve"> 438477892 </t>
  </si>
  <si>
    <t xml:space="preserve"> 407185000 </t>
  </si>
  <si>
    <t xml:space="preserve"> 70,8 </t>
  </si>
  <si>
    <t xml:space="preserve"> 303211960 </t>
  </si>
  <si>
    <t xml:space="preserve"> TOXIR ZUXRA DIYORI FERMER XO`JALIGI </t>
  </si>
  <si>
    <t xml:space="preserve"> 51,2 </t>
  </si>
  <si>
    <t xml:space="preserve"> 2,2 </t>
  </si>
  <si>
    <t xml:space="preserve"> 171,1 </t>
  </si>
  <si>
    <t xml:space="preserve"> 1345219648 </t>
  </si>
  <si>
    <t xml:space="preserve"> 807131789 </t>
  </si>
  <si>
    <t xml:space="preserve"> 767262000 </t>
  </si>
  <si>
    <t xml:space="preserve"> 270,4 </t>
  </si>
  <si>
    <t xml:space="preserve"> 303213475 </t>
  </si>
  <si>
    <t xml:space="preserve"> "INOYAT JUMANIYOZ" FX </t>
  </si>
  <si>
    <t xml:space="preserve"> 24,0 </t>
  </si>
  <si>
    <t xml:space="preserve"> 33,4 </t>
  </si>
  <si>
    <t xml:space="preserve"> 9,4 </t>
  </si>
  <si>
    <t xml:space="preserve"> 10,2 </t>
  </si>
  <si>
    <t xml:space="preserve"> 23,2 </t>
  </si>
  <si>
    <t xml:space="preserve"> 96,4 </t>
  </si>
  <si>
    <t xml:space="preserve"> 757598044 </t>
  </si>
  <si>
    <t xml:space="preserve"> 454558826 </t>
  </si>
  <si>
    <t xml:space="preserve"> 434703000 </t>
  </si>
  <si>
    <t xml:space="preserve"> 43,5 </t>
  </si>
  <si>
    <t xml:space="preserve"> 145,5 </t>
  </si>
  <si>
    <t xml:space="preserve"> 303233751 </t>
  </si>
  <si>
    <t xml:space="preserve"> "SARVAR SANJAR POLVON" ФЕРМЕР ХЎЖАЛИГИ </t>
  </si>
  <si>
    <t xml:space="preserve"> 56,3 </t>
  </si>
  <si>
    <t xml:space="preserve"> 7,5 </t>
  </si>
  <si>
    <t xml:space="preserve"> 181,7 </t>
  </si>
  <si>
    <t xml:space="preserve"> 1428486090 </t>
  </si>
  <si>
    <t xml:space="preserve"> 857091654 </t>
  </si>
  <si>
    <t xml:space="preserve"> 828471300 </t>
  </si>
  <si>
    <t xml:space="preserve"> 58,1 </t>
  </si>
  <si>
    <t xml:space="preserve"> 327,0 </t>
  </si>
  <si>
    <t xml:space="preserve"> 303242400 </t>
  </si>
  <si>
    <t xml:space="preserve"> ILXOMBEK RASULBEK ФЕРМЕР ХУЖАЛИГИ </t>
  </si>
  <si>
    <t xml:space="preserve"> 65,2 </t>
  </si>
  <si>
    <t xml:space="preserve"> 55,6 </t>
  </si>
  <si>
    <t xml:space="preserve"> -9,6 </t>
  </si>
  <si>
    <t xml:space="preserve"> 202,6 </t>
  </si>
  <si>
    <t xml:space="preserve"> 1592558168 </t>
  </si>
  <si>
    <t xml:space="preserve"> 955534901 </t>
  </si>
  <si>
    <t xml:space="preserve"> 914795036 </t>
  </si>
  <si>
    <t xml:space="preserve"> 47,2 </t>
  </si>
  <si>
    <t xml:space="preserve"> 273,2 </t>
  </si>
  <si>
    <t xml:space="preserve"> 303516446 </t>
  </si>
  <si>
    <t xml:space="preserve"> SARVINOZ-SHAXNOZA FERMER XO`JALIGI </t>
  </si>
  <si>
    <t xml:space="preserve"> 57,0 </t>
  </si>
  <si>
    <t xml:space="preserve"> 65,7 </t>
  </si>
  <si>
    <t xml:space="preserve"> 8,7 </t>
  </si>
  <si>
    <t xml:space="preserve"> 48,5 </t>
  </si>
  <si>
    <t xml:space="preserve"> 162,9 </t>
  </si>
  <si>
    <t xml:space="preserve"> 1280837730 </t>
  </si>
  <si>
    <t xml:space="preserve"> 768502638 </t>
  </si>
  <si>
    <t xml:space="preserve"> 733278506 </t>
  </si>
  <si>
    <t xml:space="preserve"> 42,0 </t>
  </si>
  <si>
    <t xml:space="preserve"> 275,7 </t>
  </si>
  <si>
    <t xml:space="preserve"> 303524380 </t>
  </si>
  <si>
    <t xml:space="preserve"> JAVLON JO`SHQINBEK ФЕРМЕР ХУЖАЛИГИ </t>
  </si>
  <si>
    <t xml:space="preserve"> 172,7 </t>
  </si>
  <si>
    <t xml:space="preserve"> 1357374300 </t>
  </si>
  <si>
    <t xml:space="preserve"> 814424580 </t>
  </si>
  <si>
    <t xml:space="preserve"> 780490000 </t>
  </si>
  <si>
    <t xml:space="preserve"> 293,0 </t>
  </si>
  <si>
    <t xml:space="preserve"> 303528565 </t>
  </si>
  <si>
    <t xml:space="preserve"> MIRZO G`ALABA ФХ </t>
  </si>
  <si>
    <t xml:space="preserve"> 35,1 </t>
  </si>
  <si>
    <t xml:space="preserve"> 43,7 </t>
  </si>
  <si>
    <t xml:space="preserve"> 8,6 </t>
  </si>
  <si>
    <t xml:space="preserve"> 125,5 </t>
  </si>
  <si>
    <t xml:space="preserve"> 986578794 </t>
  </si>
  <si>
    <t xml:space="preserve"> 591947276 </t>
  </si>
  <si>
    <t xml:space="preserve"> 572116000 </t>
  </si>
  <si>
    <t xml:space="preserve"> 219,8 </t>
  </si>
  <si>
    <t xml:space="preserve"> 303528580 </t>
  </si>
  <si>
    <t xml:space="preserve"> IKRAM XARROT ФЕРМЕР ХУЖАЛИГИ </t>
  </si>
  <si>
    <t xml:space="preserve"> 55,4 </t>
  </si>
  <si>
    <t xml:space="preserve"> 15,3 </t>
  </si>
  <si>
    <t xml:space="preserve"> 33,2 </t>
  </si>
  <si>
    <t xml:space="preserve"> 143,2 </t>
  </si>
  <si>
    <t xml:space="preserve"> 1125814814 </t>
  </si>
  <si>
    <t xml:space="preserve"> 675488888 </t>
  </si>
  <si>
    <t xml:space="preserve"> 652779552 </t>
  </si>
  <si>
    <t xml:space="preserve"> 43,2 </t>
  </si>
  <si>
    <t xml:space="preserve"> 239,1 </t>
  </si>
  <si>
    <t xml:space="preserve"> 303534005 </t>
  </si>
  <si>
    <t xml:space="preserve"> BEKOBOD NURLI DIYOR ФЕРМЕР ХУЖАЛАГИ </t>
  </si>
  <si>
    <t xml:space="preserve"> 28,2 </t>
  </si>
  <si>
    <t xml:space="preserve"> 0,9 </t>
  </si>
  <si>
    <t xml:space="preserve"> 116,8 </t>
  </si>
  <si>
    <t xml:space="preserve"> 918171532 </t>
  </si>
  <si>
    <t xml:space="preserve"> 550902919 </t>
  </si>
  <si>
    <t xml:space="preserve"> 532278100 </t>
  </si>
  <si>
    <t xml:space="preserve"> 47,7 </t>
  </si>
  <si>
    <t xml:space="preserve"> 147,8 </t>
  </si>
  <si>
    <t xml:space="preserve"> 303544848 </t>
  </si>
  <si>
    <t xml:space="preserve"> MUNIS BEK PAXTAKOR FX </t>
  </si>
  <si>
    <t xml:space="preserve"> 70,3 </t>
  </si>
  <si>
    <t xml:space="preserve"> 80,3 </t>
  </si>
  <si>
    <t xml:space="preserve"> 41,9 </t>
  </si>
  <si>
    <t xml:space="preserve"> 334,3 </t>
  </si>
  <si>
    <t xml:space="preserve"> 303569934 </t>
  </si>
  <si>
    <t xml:space="preserve"> "KAMRON DILMUROD" FX </t>
  </si>
  <si>
    <t xml:space="preserve"> 127,4 </t>
  </si>
  <si>
    <t xml:space="preserve"> 1001791764 </t>
  </si>
  <si>
    <t xml:space="preserve"> 601075058 </t>
  </si>
  <si>
    <t xml:space="preserve"> 570951016 </t>
  </si>
  <si>
    <t xml:space="preserve"> 179,2 </t>
  </si>
  <si>
    <t xml:space="preserve"> 303580701 </t>
  </si>
  <si>
    <t xml:space="preserve"> ANJIRCHI NASLLI CHORVA ФЕРМЕР ХУЖАЛИГИ </t>
  </si>
  <si>
    <t xml:space="preserve"> 68,0 </t>
  </si>
  <si>
    <t xml:space="preserve"> 104,1 </t>
  </si>
  <si>
    <t xml:space="preserve"> 36,1 </t>
  </si>
  <si>
    <t xml:space="preserve"> 59,4 </t>
  </si>
  <si>
    <t xml:space="preserve"> 23,4 </t>
  </si>
  <si>
    <t xml:space="preserve"> 230,9 </t>
  </si>
  <si>
    <t xml:space="preserve"> 1815650280 </t>
  </si>
  <si>
    <t xml:space="preserve"> 1089390168 </t>
  </si>
  <si>
    <t xml:space="preserve"> 1034770900 </t>
  </si>
  <si>
    <t xml:space="preserve"> 376,0 </t>
  </si>
  <si>
    <t xml:space="preserve"> 303594010 </t>
  </si>
  <si>
    <t xml:space="preserve"> RAJABOV AMATJON FERMER XO`JALIGI </t>
  </si>
  <si>
    <t xml:space="preserve"> 51,1 </t>
  </si>
  <si>
    <t xml:space="preserve"> -3,7 </t>
  </si>
  <si>
    <t xml:space="preserve"> 28,4 </t>
  </si>
  <si>
    <t xml:space="preserve"> 17,9 </t>
  </si>
  <si>
    <t xml:space="preserve"> 167,7 </t>
  </si>
  <si>
    <t xml:space="preserve"> 1318339470 </t>
  </si>
  <si>
    <t xml:space="preserve"> 791003682 </t>
  </si>
  <si>
    <t xml:space="preserve"> 764620200 </t>
  </si>
  <si>
    <t xml:space="preserve"> 202,7 </t>
  </si>
  <si>
    <t xml:space="preserve"> 303594612 </t>
  </si>
  <si>
    <t xml:space="preserve"> SUXROBBEK SHOXISTA FERMER XO`JALIGI </t>
  </si>
  <si>
    <t xml:space="preserve"> 35,0 </t>
  </si>
  <si>
    <t xml:space="preserve"> 37,3 </t>
  </si>
  <si>
    <t xml:space="preserve"> 19,3 </t>
  </si>
  <si>
    <t xml:space="preserve"> 94,0 </t>
  </si>
  <si>
    <t xml:space="preserve"> 739216688 </t>
  </si>
  <si>
    <t xml:space="preserve"> 443530013 </t>
  </si>
  <si>
    <t xml:space="preserve"> 423321064 </t>
  </si>
  <si>
    <t xml:space="preserve"> 198,2 </t>
  </si>
  <si>
    <t xml:space="preserve"> 303595089 </t>
  </si>
  <si>
    <t xml:space="preserve"> "G'ALABA NURI" FERMER XO‘JALIGI </t>
  </si>
  <si>
    <t xml:space="preserve"> 27,1 </t>
  </si>
  <si>
    <t xml:space="preserve"> 23,9 </t>
  </si>
  <si>
    <t xml:space="preserve"> 77,6 </t>
  </si>
  <si>
    <t xml:space="preserve"> 610405680 </t>
  </si>
  <si>
    <t xml:space="preserve"> 366243408 </t>
  </si>
  <si>
    <t xml:space="preserve"> 351156755 </t>
  </si>
  <si>
    <t xml:space="preserve"> 51,8 </t>
  </si>
  <si>
    <t xml:space="preserve"> 140,2 </t>
  </si>
  <si>
    <t xml:space="preserve"> 303609306 </t>
  </si>
  <si>
    <t xml:space="preserve"> FAROVON BAXT QUSHI ФЕРМЕР ХУЖАЛИГИ </t>
  </si>
  <si>
    <t xml:space="preserve"> -3,5 </t>
  </si>
  <si>
    <t xml:space="preserve"> 43,9 </t>
  </si>
  <si>
    <t xml:space="preserve"> 175,7 </t>
  </si>
  <si>
    <t xml:space="preserve"> 1381526364 </t>
  </si>
  <si>
    <t xml:space="preserve"> 828915818 </t>
  </si>
  <si>
    <t xml:space="preserve"> 579369000 </t>
  </si>
  <si>
    <t xml:space="preserve"> 39,0 </t>
  </si>
  <si>
    <t xml:space="preserve"> 171,4 </t>
  </si>
  <si>
    <t xml:space="preserve"> 303636978 </t>
  </si>
  <si>
    <t xml:space="preserve"> BAXTBEK BOTIR FX </t>
  </si>
  <si>
    <t xml:space="preserve"> 53,8 </t>
  </si>
  <si>
    <t xml:space="preserve"> -1,3 </t>
  </si>
  <si>
    <t xml:space="preserve"> 17,0 </t>
  </si>
  <si>
    <t xml:space="preserve"> 197,9 </t>
  </si>
  <si>
    <t xml:space="preserve"> 1555606768 </t>
  </si>
  <si>
    <t xml:space="preserve"> 933364061 </t>
  </si>
  <si>
    <t xml:space="preserve"> 890515000 </t>
  </si>
  <si>
    <t xml:space="preserve"> 269,5 </t>
  </si>
  <si>
    <t xml:space="preserve"> 304626024 </t>
  </si>
  <si>
    <t xml:space="preserve"> "ISLOM SADULLAYEV" FX </t>
  </si>
  <si>
    <t xml:space="preserve"> 45,4 </t>
  </si>
  <si>
    <t xml:space="preserve"> 4,9 </t>
  </si>
  <si>
    <t xml:space="preserve"> 156,2 </t>
  </si>
  <si>
    <t xml:space="preserve"> 1227682748 </t>
  </si>
  <si>
    <t xml:space="preserve"> 736609649 </t>
  </si>
  <si>
    <t xml:space="preserve"> 687823000 </t>
  </si>
  <si>
    <t xml:space="preserve"> 262,0 </t>
  </si>
  <si>
    <t xml:space="preserve"> 304631802 </t>
  </si>
  <si>
    <t xml:space="preserve"> AZIZBEK NAZARBEK NE`MATLARI FERMER XO`JALIGI </t>
  </si>
  <si>
    <t xml:space="preserve"> 22,1 </t>
  </si>
  <si>
    <t xml:space="preserve"> 0,1 </t>
  </si>
  <si>
    <t xml:space="preserve"> 22,8 </t>
  </si>
  <si>
    <t xml:space="preserve"> 79,0 </t>
  </si>
  <si>
    <t xml:space="preserve"> 621247378 </t>
  </si>
  <si>
    <t xml:space="preserve"> 372748427 </t>
  </si>
  <si>
    <t xml:space="preserve"> 341155400 </t>
  </si>
  <si>
    <t xml:space="preserve"> 49,2 </t>
  </si>
  <si>
    <t xml:space="preserve"> 130,5 </t>
  </si>
  <si>
    <t xml:space="preserve"> 304641798 </t>
  </si>
  <si>
    <t xml:space="preserve"> XORAZM NURLI DIYOR FERMER XO`JALIGI </t>
  </si>
  <si>
    <t xml:space="preserve"> 46,7 </t>
  </si>
  <si>
    <t xml:space="preserve"> 10,5 </t>
  </si>
  <si>
    <t xml:space="preserve"> 15,9 </t>
  </si>
  <si>
    <t xml:space="preserve"> 20,3 </t>
  </si>
  <si>
    <t xml:space="preserve"> 162,1 </t>
  </si>
  <si>
    <t xml:space="preserve"> 1274445924 </t>
  </si>
  <si>
    <t xml:space="preserve"> 764667554 </t>
  </si>
  <si>
    <t xml:space="preserve"> 737871000 </t>
  </si>
  <si>
    <t xml:space="preserve"> 39,2 </t>
  </si>
  <si>
    <t xml:space="preserve"> 183,2 </t>
  </si>
  <si>
    <t xml:space="preserve"> 304710237 </t>
  </si>
  <si>
    <t xml:space="preserve"> SULAYMON POLVON FERMER XO`JALIGI </t>
  </si>
  <si>
    <t xml:space="preserve"> -10,1 </t>
  </si>
  <si>
    <t xml:space="preserve"> 13,9 </t>
  </si>
  <si>
    <t xml:space="preserve"> 217,1 </t>
  </si>
  <si>
    <t xml:space="preserve"> 1706989578 </t>
  </si>
  <si>
    <t xml:space="preserve"> 1024193747 </t>
  </si>
  <si>
    <t xml:space="preserve"> 988285000 </t>
  </si>
  <si>
    <t xml:space="preserve"> 40,7 </t>
  </si>
  <si>
    <t xml:space="preserve"> 254,6 </t>
  </si>
  <si>
    <t xml:space="preserve"> 304968453 </t>
  </si>
  <si>
    <t xml:space="preserve"> ФЕРМЕРСКОЕ ХОЗЯЙСТВО "TERAN DOMOR" </t>
  </si>
  <si>
    <t xml:space="preserve"> 57,1 </t>
  </si>
  <si>
    <t xml:space="preserve"> 71,0 </t>
  </si>
  <si>
    <t xml:space="preserve"> 44,7 </t>
  </si>
  <si>
    <t xml:space="preserve"> 13,0 </t>
  </si>
  <si>
    <t xml:space="preserve"> 199,3 </t>
  </si>
  <si>
    <t xml:space="preserve"> 1567203218 </t>
  </si>
  <si>
    <t xml:space="preserve"> 940321931 </t>
  </si>
  <si>
    <t xml:space="preserve"> 879720000 </t>
  </si>
  <si>
    <t xml:space="preserve"> 341,0 </t>
  </si>
  <si>
    <t xml:space="preserve"> 305389191 </t>
  </si>
  <si>
    <t xml:space="preserve"> ФЕРМЕРСКОЕ ХОЗЯЙСТВО "MUSO 1" </t>
  </si>
  <si>
    <t xml:space="preserve"> 60,0 </t>
  </si>
  <si>
    <t xml:space="preserve"> 72,1 </t>
  </si>
  <si>
    <t xml:space="preserve"> 12,1 </t>
  </si>
  <si>
    <t xml:space="preserve"> 198,1 </t>
  </si>
  <si>
    <t xml:space="preserve"> 1557155582 </t>
  </si>
  <si>
    <t xml:space="preserve"> 934293349 </t>
  </si>
  <si>
    <t xml:space="preserve"> 895136700 </t>
  </si>
  <si>
    <t xml:space="preserve"> 358,1 </t>
  </si>
  <si>
    <t xml:space="preserve"> 305393742 </t>
  </si>
  <si>
    <t xml:space="preserve"> ФЕРМЕРСКОЕ ХОЗЯЙСТВО "BAQUVVAT USTUN" </t>
  </si>
  <si>
    <t xml:space="preserve"> 81,3 </t>
  </si>
  <si>
    <t xml:space="preserve"> 639565838 </t>
  </si>
  <si>
    <t xml:space="preserve"> 383739503 </t>
  </si>
  <si>
    <t xml:space="preserve"> 370712000 </t>
  </si>
  <si>
    <t xml:space="preserve"> 51,3 </t>
  </si>
  <si>
    <t xml:space="preserve"> 305393766 </t>
  </si>
  <si>
    <t xml:space="preserve"> "XAMROBEK XURMATBEK" FX </t>
  </si>
  <si>
    <t xml:space="preserve"> 1,2 </t>
  </si>
  <si>
    <t xml:space="preserve"> 71,7 </t>
  </si>
  <si>
    <t xml:space="preserve"> 563571746 </t>
  </si>
  <si>
    <t xml:space="preserve"> 338143048 </t>
  </si>
  <si>
    <t xml:space="preserve"> 293971200 </t>
  </si>
  <si>
    <t xml:space="preserve"> 117,7 </t>
  </si>
  <si>
    <t xml:space="preserve"> 305454111 </t>
  </si>
  <si>
    <t xml:space="preserve"> ФЕРМЕРСКОЕ ХОЗЯЙСТВО "AZAMAT O`G`LI ASADBEK" </t>
  </si>
  <si>
    <t xml:space="preserve"> 86,9 </t>
  </si>
  <si>
    <t xml:space="preserve"> 105,4 </t>
  </si>
  <si>
    <t xml:space="preserve"> 18,5 </t>
  </si>
  <si>
    <t xml:space="preserve"> 94,6 </t>
  </si>
  <si>
    <t xml:space="preserve"> 343,5 </t>
  </si>
  <si>
    <t xml:space="preserve"> 2700581276 </t>
  </si>
  <si>
    <t xml:space="preserve"> 1620348766 </t>
  </si>
  <si>
    <t xml:space="preserve"> 1045225000 </t>
  </si>
  <si>
    <t xml:space="preserve"> 465,7 </t>
  </si>
  <si>
    <t xml:space="preserve"> 305491067 </t>
  </si>
  <si>
    <t xml:space="preserve"> "RO'ZIMBOY CHAKKALI" FX </t>
  </si>
  <si>
    <t xml:space="preserve"> 14,6 </t>
  </si>
  <si>
    <t xml:space="preserve"> 12,7 </t>
  </si>
  <si>
    <t xml:space="preserve"> 116,1 </t>
  </si>
  <si>
    <t xml:space="preserve"> 913014060 </t>
  </si>
  <si>
    <t xml:space="preserve"> 547808436 </t>
  </si>
  <si>
    <t xml:space="preserve"> 500564000 </t>
  </si>
  <si>
    <t xml:space="preserve"> 44,8 </t>
  </si>
  <si>
    <t xml:space="preserve"> 207,6 </t>
  </si>
  <si>
    <t xml:space="preserve"> 306146596 </t>
  </si>
  <si>
    <t xml:space="preserve"> URGANCH AGRO OQ OLTIN ФХ </t>
  </si>
  <si>
    <t xml:space="preserve"> 159,4 </t>
  </si>
  <si>
    <t xml:space="preserve"> 1253069146 </t>
  </si>
  <si>
    <t xml:space="preserve"> 751841488 </t>
  </si>
  <si>
    <t xml:space="preserve"> 726756598 </t>
  </si>
  <si>
    <t xml:space="preserve"> 52,0 </t>
  </si>
  <si>
    <t xml:space="preserve"> 237,8 </t>
  </si>
  <si>
    <t xml:space="preserve"> 306244110 </t>
  </si>
  <si>
    <t xml:space="preserve"> ФЕРМЕРСКОЕ ХОЗЯЙСТВО "XASAN OTA MEVASI" </t>
  </si>
  <si>
    <t xml:space="preserve"> -2,2 </t>
  </si>
  <si>
    <t xml:space="preserve"> 10,4 </t>
  </si>
  <si>
    <t xml:space="preserve"> 231,5 </t>
  </si>
  <si>
    <t xml:space="preserve"> 1820375342 </t>
  </si>
  <si>
    <t xml:space="preserve"> 1092225205 </t>
  </si>
  <si>
    <t xml:space="preserve"> 1021575127 </t>
  </si>
  <si>
    <t xml:space="preserve"> 231,6 </t>
  </si>
  <si>
    <t xml:space="preserve"> 307089983 </t>
  </si>
  <si>
    <t xml:space="preserve"> "URGANCH XALQ NURAFSHONI" MCHJ </t>
  </si>
  <si>
    <t xml:space="preserve"> 1350,6 </t>
  </si>
  <si>
    <t xml:space="preserve"> 1077,4 </t>
  </si>
  <si>
    <t xml:space="preserve"> -273,1 </t>
  </si>
  <si>
    <t xml:space="preserve"> 711,4 </t>
  </si>
  <si>
    <t xml:space="preserve"> 176,0 </t>
  </si>
  <si>
    <t xml:space="preserve"> 132,7 </t>
  </si>
  <si>
    <t xml:space="preserve"> 229,6 </t>
  </si>
  <si>
    <t xml:space="preserve"> 4190,3 </t>
  </si>
  <si>
    <t xml:space="preserve"> 32944327288 </t>
  </si>
  <si>
    <t xml:space="preserve"> 19766596373 </t>
  </si>
  <si>
    <t xml:space="preserve"> 16724180800 </t>
  </si>
  <si>
    <t xml:space="preserve"> 4664,3 </t>
  </si>
  <si>
    <t xml:space="preserve"> 307284647 </t>
  </si>
  <si>
    <t xml:space="preserve"> ФХ "ANJIRCHI BARAKA OMAD" </t>
  </si>
  <si>
    <t xml:space="preserve"> 32,6 </t>
  </si>
  <si>
    <t xml:space="preserve"> 93,9 </t>
  </si>
  <si>
    <t xml:space="preserve"> 738186766 </t>
  </si>
  <si>
    <t xml:space="preserve"> 442912060 </t>
  </si>
  <si>
    <t xml:space="preserve"> 424384132 </t>
  </si>
  <si>
    <t xml:space="preserve"> 160,5 </t>
  </si>
  <si>
    <t xml:space="preserve"> 308490066 </t>
  </si>
  <si>
    <t xml:space="preserve"> ФХ "MADINA MASHXURA TEMURBEK" </t>
  </si>
  <si>
    <t xml:space="preserve"> -0,3 </t>
  </si>
  <si>
    <t xml:space="preserve"> 26,7 </t>
  </si>
  <si>
    <t xml:space="preserve"> 17,4 </t>
  </si>
  <si>
    <t xml:space="preserve"> 3,5 </t>
  </si>
  <si>
    <t xml:space="preserve"> 178,1 </t>
  </si>
  <si>
    <t xml:space="preserve"> 1400379440 </t>
  </si>
  <si>
    <t xml:space="preserve"> 840227664 </t>
  </si>
  <si>
    <t xml:space="preserve"> 801374600 </t>
  </si>
  <si>
    <t xml:space="preserve"> 45,6 </t>
  </si>
  <si>
    <t xml:space="preserve"> 249,5 </t>
  </si>
  <si>
    <t xml:space="preserve"> 310924553 </t>
  </si>
  <si>
    <t xml:space="preserve"> "XORAZM NURAFSHON PAXTAKOR" MAS'ULIYATI CHEKLANGAN JAMIYAT </t>
  </si>
  <si>
    <t xml:space="preserve"> 278,7 </t>
  </si>
  <si>
    <t xml:space="preserve"> 314,6 </t>
  </si>
  <si>
    <t xml:space="preserve"> 35,9 </t>
  </si>
  <si>
    <t xml:space="preserve"> 147,2 </t>
  </si>
  <si>
    <t xml:space="preserve"> 125,3 </t>
  </si>
  <si>
    <t xml:space="preserve"> 888,7 </t>
  </si>
  <si>
    <t xml:space="preserve"> 6986959400 </t>
  </si>
  <si>
    <t xml:space="preserve"> 4192175640 </t>
  </si>
  <si>
    <t xml:space="preserve"> 4002374001 </t>
  </si>
  <si>
    <t xml:space="preserve"> 34,9 </t>
  </si>
  <si>
    <t xml:space="preserve"> 1227,8 </t>
  </si>
  <si>
    <t xml:space="preserve"> 311480553 </t>
  </si>
  <si>
    <t xml:space="preserve"> "LOLAXON MUQADDAS" MAS'ULIYATI CHEKLANGAN JAMIYAT </t>
  </si>
  <si>
    <t xml:space="preserve"> 2,7 </t>
  </si>
  <si>
    <t xml:space="preserve"> 4,7 </t>
  </si>
  <si>
    <t xml:space="preserve"> 14,2 </t>
  </si>
  <si>
    <t xml:space="preserve"> 71,1 </t>
  </si>
  <si>
    <t xml:space="preserve"> 559090406 </t>
  </si>
  <si>
    <t xml:space="preserve"> 335454244 </t>
  </si>
  <si>
    <t xml:space="preserve"> 312213000 </t>
  </si>
  <si>
    <t xml:space="preserve"> 81,2 </t>
  </si>
  <si>
    <t xml:space="preserve"> 311720640 </t>
  </si>
  <si>
    <t xml:space="preserve"> "YAQUB JAXON" MAS'ULIYATI CHEKLANGAN JAMIYAT </t>
  </si>
  <si>
    <t xml:space="preserve"> 29,9 </t>
  </si>
  <si>
    <t xml:space="preserve"> 114,0 </t>
  </si>
  <si>
    <t xml:space="preserve"> 895961382 </t>
  </si>
  <si>
    <t xml:space="preserve"> 537576829 </t>
  </si>
  <si>
    <t xml:space="preserve"> 499697000 </t>
  </si>
  <si>
    <t xml:space="preserve"> 29,8 </t>
  </si>
  <si>
    <t xml:space="preserve"> 112,2 </t>
  </si>
  <si>
    <t xml:space="preserve"> 312368864 </t>
  </si>
  <si>
    <t xml:space="preserve"> "URGANCH NAV SINASH UCHASTKASI" DAVLAT MUASSASASI </t>
  </si>
  <si>
    <t xml:space="preserve"> 120886112 </t>
  </si>
  <si>
    <t xml:space="preserve"> 72531667 </t>
  </si>
  <si>
    <t xml:space="preserve"> 69503700 </t>
  </si>
  <si>
    <t xml:space="preserve"> 47,9 </t>
  </si>
  <si>
    <t xml:space="preserve"> 22,4 </t>
  </si>
  <si>
    <t>Hudud nomi</t>
  </si>
  <si>
    <t>G'alla ekish rejasi
ga</t>
  </si>
  <si>
    <t>Shundan</t>
  </si>
  <si>
    <t>Kosmik monitoring yordamida aniqlangan umumiy shudgor maydoni
ga</t>
  </si>
  <si>
    <t>Kosmik monitoring yordamida aniqlangan  shudgor maydoni
(Reja qilingan maydonda)
ga</t>
  </si>
  <si>
    <t>Kosmik monitoring yordamida aniqlangan vegetativ maydon,
ga*</t>
  </si>
  <si>
    <t>*Vegetatsiya maydonini aniqlash uchun ishlatilgan kosmik surat sanasi 15.10.2026 dan 20.10.2026 gacha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</si>
</sst>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934A-DF0F-4350-8162-7F9A3C3CD93F}">
  <dimension ref="A1:O2"/>
  <sheetViews>
    <sheetView workbookViewId="0">
      <selection activeCell="C9" sqref="C9"/>
    </sheetView>
  </sheetViews>
  <sheetFormatPr defaultRowHeight="15" x14ac:dyDescent="0.25"/>
  <cols>
    <col min="1" max="1" width="18" customWidth="1"/>
    <col min="2" max="4" width="14" customWidth="1"/>
    <col min="5" max="8" width="9" customWidth="1"/>
    <col min="9" max="9" width="16" customWidth="1"/>
    <col min="10" max="12" width="22" customWidth="1"/>
    <col min="13" max="13" width="16" customWidth="1"/>
    <col min="14" max="14" width="13.28515625" customWidth="1"/>
    <col min="15" max="15" width="16" customWidth="1"/>
  </cols>
  <sheetData>
    <row r="1" spans="1:15" ht="18.75" x14ac:dyDescent="0.25">
      <c r="A1" s="8" t="s">
        <v>19</v>
      </c>
      <c r="B1" s="8" t="s">
        <v>10</v>
      </c>
      <c r="C1" s="8" t="s">
        <v>18</v>
      </c>
      <c r="D1" s="2" t="s">
        <v>11</v>
      </c>
      <c r="E1" s="5" t="s">
        <v>5</v>
      </c>
      <c r="F1" s="6"/>
      <c r="G1" s="6"/>
      <c r="H1" s="7"/>
      <c r="I1" s="5" t="s">
        <v>16</v>
      </c>
      <c r="J1" s="6"/>
      <c r="K1" s="6"/>
      <c r="L1" s="7"/>
      <c r="M1" s="8" t="s">
        <v>17</v>
      </c>
      <c r="N1" s="8"/>
      <c r="O1" s="8"/>
    </row>
    <row r="2" spans="1:15" ht="93.75" x14ac:dyDescent="0.25">
      <c r="A2" s="8"/>
      <c r="B2" s="8"/>
      <c r="C2" s="8"/>
      <c r="D2" s="2" t="s">
        <v>1</v>
      </c>
      <c r="E2" s="2" t="s">
        <v>12</v>
      </c>
      <c r="F2" s="2" t="s">
        <v>2</v>
      </c>
      <c r="G2" s="2" t="s">
        <v>3</v>
      </c>
      <c r="H2" s="2" t="s">
        <v>4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15</v>
      </c>
      <c r="N2" s="2" t="s">
        <v>13</v>
      </c>
      <c r="O2" s="2" t="s">
        <v>14</v>
      </c>
    </row>
  </sheetData>
  <mergeCells count="6">
    <mergeCell ref="E1:H1"/>
    <mergeCell ref="I1:L1"/>
    <mergeCell ref="M1:O1"/>
    <mergeCell ref="A1:A2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86B9-AA72-4358-893D-46E880363379}">
  <dimension ref="A1:V5"/>
  <sheetViews>
    <sheetView zoomScale="85" zoomScaleNormal="85" workbookViewId="0">
      <selection activeCell="A5" sqref="A5"/>
    </sheetView>
  </sheetViews>
  <sheetFormatPr defaultRowHeight="15" x14ac:dyDescent="0.25"/>
  <cols>
    <col min="1" max="1" width="18" customWidth="1"/>
    <col min="2" max="2" width="16.5703125" customWidth="1"/>
    <col min="3" max="3" width="14" customWidth="1"/>
    <col min="4" max="4" width="19.85546875" customWidth="1"/>
    <col min="5" max="5" width="14" customWidth="1"/>
    <col min="6" max="6" width="23.7109375" customWidth="1"/>
    <col min="7" max="10" width="14" customWidth="1"/>
    <col min="11" max="11" width="23.7109375" customWidth="1"/>
    <col min="12" max="13" width="14.28515625" bestFit="1" customWidth="1"/>
    <col min="14" max="14" width="14.28515625" customWidth="1"/>
    <col min="15" max="16" width="16" customWidth="1"/>
    <col min="17" max="19" width="22" customWidth="1"/>
    <col min="20" max="20" width="16" customWidth="1"/>
    <col min="21" max="21" width="13.28515625" customWidth="1"/>
    <col min="22" max="22" width="16" customWidth="1"/>
  </cols>
  <sheetData>
    <row r="1" spans="1:22" ht="57" customHeight="1" x14ac:dyDescent="0.25">
      <c r="A1" s="8" t="s">
        <v>1110</v>
      </c>
      <c r="B1" s="8" t="s">
        <v>0</v>
      </c>
      <c r="C1" s="8" t="s">
        <v>1111</v>
      </c>
      <c r="D1" s="8" t="s">
        <v>1115</v>
      </c>
      <c r="E1" s="2" t="s">
        <v>11</v>
      </c>
      <c r="F1" s="9" t="s">
        <v>1114</v>
      </c>
      <c r="G1" s="5" t="s">
        <v>1112</v>
      </c>
      <c r="H1" s="6"/>
      <c r="I1" s="6"/>
      <c r="J1" s="7"/>
      <c r="K1" s="9" t="s">
        <v>1113</v>
      </c>
      <c r="L1" s="5" t="s">
        <v>1112</v>
      </c>
      <c r="M1" s="6"/>
      <c r="N1" s="6"/>
      <c r="O1" s="7"/>
      <c r="P1" s="5" t="s">
        <v>16</v>
      </c>
      <c r="Q1" s="6"/>
      <c r="R1" s="6"/>
      <c r="S1" s="7"/>
      <c r="T1" s="8" t="s">
        <v>17</v>
      </c>
      <c r="U1" s="8"/>
      <c r="V1" s="8"/>
    </row>
    <row r="2" spans="1:22" ht="118.5" customHeight="1" x14ac:dyDescent="0.25">
      <c r="A2" s="8"/>
      <c r="B2" s="8"/>
      <c r="C2" s="8"/>
      <c r="D2" s="8"/>
      <c r="E2" s="2" t="s">
        <v>1</v>
      </c>
      <c r="F2" s="10"/>
      <c r="G2" s="11">
        <v>46183</v>
      </c>
      <c r="H2" s="11">
        <v>46203</v>
      </c>
      <c r="I2" s="11">
        <v>46249</v>
      </c>
      <c r="J2" s="11">
        <v>46280</v>
      </c>
      <c r="K2" s="10"/>
      <c r="L2" s="11">
        <v>46183</v>
      </c>
      <c r="M2" s="11">
        <v>46203</v>
      </c>
      <c r="N2" s="11">
        <v>46249</v>
      </c>
      <c r="O2" s="11">
        <v>46280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15</v>
      </c>
      <c r="U2" s="2" t="s">
        <v>13</v>
      </c>
      <c r="V2" s="2" t="s">
        <v>14</v>
      </c>
    </row>
    <row r="3" spans="1:22" ht="18.75" x14ac:dyDescent="0.25">
      <c r="A3" s="3" t="s">
        <v>23</v>
      </c>
      <c r="B3" s="1"/>
      <c r="C3" s="1" t="s">
        <v>24</v>
      </c>
      <c r="D3" s="1" t="s">
        <v>25</v>
      </c>
      <c r="E3" s="1">
        <f>D3-C3</f>
        <v>68.100000000000364</v>
      </c>
      <c r="F3" s="1">
        <f>G3+H3+I3+J3</f>
        <v>2087.6999999999998</v>
      </c>
      <c r="G3" s="1">
        <v>50.3</v>
      </c>
      <c r="H3" s="1">
        <v>943.9</v>
      </c>
      <c r="I3" s="1">
        <v>466.4</v>
      </c>
      <c r="J3" s="1">
        <v>627.1</v>
      </c>
      <c r="K3" s="1">
        <f>L3+M3+N3+O3</f>
        <v>2048.4</v>
      </c>
      <c r="L3" s="1">
        <v>11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  <c r="T3" s="1" t="s">
        <v>31</v>
      </c>
      <c r="U3" s="1" t="s">
        <v>35</v>
      </c>
      <c r="V3" s="1" t="s">
        <v>36</v>
      </c>
    </row>
    <row r="4" spans="1:22" ht="18.75" x14ac:dyDescent="0.25">
      <c r="A4" s="1" t="s">
        <v>37</v>
      </c>
      <c r="B4" s="4" t="s">
        <v>38</v>
      </c>
      <c r="C4" s="1" t="s">
        <v>24</v>
      </c>
      <c r="D4" s="1" t="s">
        <v>25</v>
      </c>
      <c r="E4" s="1">
        <f>D4-C4</f>
        <v>68.100000000000364</v>
      </c>
      <c r="F4" s="1">
        <f>G4+H4+I4+J4</f>
        <v>2087.6999999999998</v>
      </c>
      <c r="G4" s="1">
        <v>50.3</v>
      </c>
      <c r="H4" s="1">
        <v>943.9</v>
      </c>
      <c r="I4" s="1">
        <v>466.4</v>
      </c>
      <c r="J4" s="1">
        <v>627.1</v>
      </c>
      <c r="K4" s="1">
        <f>L4+M4+N4+O4</f>
        <v>2048.4</v>
      </c>
      <c r="L4" s="1">
        <v>11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  <c r="R4" s="1" t="s">
        <v>33</v>
      </c>
      <c r="S4" s="1" t="s">
        <v>34</v>
      </c>
      <c r="T4" s="1" t="s">
        <v>31</v>
      </c>
      <c r="U4" s="1" t="s">
        <v>35</v>
      </c>
      <c r="V4" s="1" t="s">
        <v>36</v>
      </c>
    </row>
    <row r="5" spans="1:22" x14ac:dyDescent="0.25">
      <c r="A5" s="12" t="s">
        <v>1116</v>
      </c>
    </row>
  </sheetData>
  <mergeCells count="10">
    <mergeCell ref="L1:O1"/>
    <mergeCell ref="P1:S1"/>
    <mergeCell ref="T1:V1"/>
    <mergeCell ref="A1:A2"/>
    <mergeCell ref="B1:B2"/>
    <mergeCell ref="C1:C2"/>
    <mergeCell ref="D1:D2"/>
    <mergeCell ref="K1:K2"/>
    <mergeCell ref="F1:F2"/>
    <mergeCell ref="G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"/>
  <sheetViews>
    <sheetView tabSelected="1" topLeftCell="A68" workbookViewId="0">
      <selection activeCell="E105" sqref="E105"/>
    </sheetView>
  </sheetViews>
  <sheetFormatPr defaultRowHeight="15" x14ac:dyDescent="0.25"/>
  <cols>
    <col min="1" max="1" width="18" customWidth="1"/>
    <col min="2" max="3" width="16.5703125" customWidth="1"/>
    <col min="4" max="4" width="36.85546875" customWidth="1"/>
    <col min="5" max="7" width="14" customWidth="1"/>
    <col min="8" max="8" width="23.85546875" customWidth="1"/>
    <col min="9" max="12" width="14" customWidth="1"/>
    <col min="13" max="13" width="25.42578125" customWidth="1"/>
    <col min="14" max="17" width="14.28515625" bestFit="1" customWidth="1"/>
    <col min="18" max="18" width="16" customWidth="1"/>
    <col min="19" max="21" width="22" customWidth="1"/>
    <col min="22" max="22" width="16" customWidth="1"/>
    <col min="23" max="23" width="13.28515625" customWidth="1"/>
    <col min="24" max="24" width="16" customWidth="1"/>
  </cols>
  <sheetData>
    <row r="1" spans="1:24" ht="66" customHeight="1" x14ac:dyDescent="0.25">
      <c r="A1" s="8" t="s">
        <v>1110</v>
      </c>
      <c r="B1" s="8" t="s">
        <v>0</v>
      </c>
      <c r="C1" s="8" t="s">
        <v>22</v>
      </c>
      <c r="D1" s="8" t="s">
        <v>21</v>
      </c>
      <c r="E1" s="8" t="s">
        <v>1111</v>
      </c>
      <c r="F1" s="8" t="s">
        <v>1115</v>
      </c>
      <c r="G1" s="9" t="s">
        <v>20</v>
      </c>
      <c r="H1" s="9" t="s">
        <v>1114</v>
      </c>
      <c r="I1" s="5" t="s">
        <v>1112</v>
      </c>
      <c r="J1" s="6"/>
      <c r="K1" s="6"/>
      <c r="L1" s="7"/>
      <c r="M1" s="9" t="s">
        <v>1113</v>
      </c>
      <c r="N1" s="5" t="s">
        <v>1112</v>
      </c>
      <c r="O1" s="6"/>
      <c r="P1" s="6"/>
      <c r="Q1" s="7"/>
      <c r="R1" s="5" t="s">
        <v>16</v>
      </c>
      <c r="S1" s="6"/>
      <c r="T1" s="6"/>
      <c r="U1" s="7"/>
      <c r="V1" s="8" t="s">
        <v>17</v>
      </c>
      <c r="W1" s="8"/>
      <c r="X1" s="8"/>
    </row>
    <row r="2" spans="1:24" ht="145.5" customHeight="1" x14ac:dyDescent="0.25">
      <c r="A2" s="8"/>
      <c r="B2" s="8"/>
      <c r="C2" s="8"/>
      <c r="D2" s="8"/>
      <c r="E2" s="8"/>
      <c r="F2" s="8"/>
      <c r="G2" s="10"/>
      <c r="H2" s="10"/>
      <c r="I2" s="11">
        <v>46183</v>
      </c>
      <c r="J2" s="11">
        <v>46203</v>
      </c>
      <c r="K2" s="11">
        <v>46249</v>
      </c>
      <c r="L2" s="11">
        <v>46280</v>
      </c>
      <c r="M2" s="10"/>
      <c r="N2" s="11">
        <v>46183</v>
      </c>
      <c r="O2" s="11">
        <v>46203</v>
      </c>
      <c r="P2" s="11">
        <v>46249</v>
      </c>
      <c r="Q2" s="11">
        <v>46280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15</v>
      </c>
      <c r="W2" s="2" t="s">
        <v>13</v>
      </c>
      <c r="X2" s="2" t="s">
        <v>14</v>
      </c>
    </row>
    <row r="3" spans="1:24" ht="18.75" x14ac:dyDescent="0.25">
      <c r="A3" s="3" t="s">
        <v>23</v>
      </c>
      <c r="B3" s="1"/>
      <c r="C3" s="1"/>
      <c r="D3" s="1"/>
      <c r="E3" s="1" t="s">
        <v>24</v>
      </c>
      <c r="F3" s="1" t="s">
        <v>25</v>
      </c>
      <c r="G3" s="1" t="s">
        <v>26</v>
      </c>
      <c r="H3" s="1">
        <f>I3+J3+K3+L3+M3</f>
        <v>25249.5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  <c r="U3" s="1" t="s">
        <v>34</v>
      </c>
      <c r="V3" s="1" t="s">
        <v>31</v>
      </c>
      <c r="W3" s="1" t="s">
        <v>35</v>
      </c>
      <c r="X3" s="1" t="s">
        <v>36</v>
      </c>
    </row>
    <row r="4" spans="1:24" ht="18.75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>
        <f t="shared" ref="H4:H67" si="0">I4+J4+K4+L4+M4</f>
        <v>345.3</v>
      </c>
      <c r="I4" s="1" t="s">
        <v>44</v>
      </c>
      <c r="J4" s="1" t="s">
        <v>45</v>
      </c>
      <c r="K4" s="1" t="s">
        <v>46</v>
      </c>
      <c r="L4" s="1">
        <v>0</v>
      </c>
      <c r="M4" s="1" t="s">
        <v>48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s="1" t="s">
        <v>49</v>
      </c>
      <c r="T4" s="1" t="s">
        <v>50</v>
      </c>
      <c r="U4" s="1" t="s">
        <v>51</v>
      </c>
      <c r="V4" s="1" t="s">
        <v>48</v>
      </c>
      <c r="W4" s="1" t="s">
        <v>52</v>
      </c>
      <c r="X4" s="1" t="s">
        <v>53</v>
      </c>
    </row>
    <row r="5" spans="1:24" ht="18.75" x14ac:dyDescent="0.25">
      <c r="A5" s="1" t="s">
        <v>37</v>
      </c>
      <c r="B5" s="1" t="s">
        <v>38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>
        <f t="shared" si="0"/>
        <v>169.5</v>
      </c>
      <c r="I5" s="1" t="s">
        <v>45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45</v>
      </c>
      <c r="O5" s="1" t="s">
        <v>59</v>
      </c>
      <c r="P5" s="1" t="s">
        <v>60</v>
      </c>
      <c r="Q5" s="1" t="s">
        <v>61</v>
      </c>
      <c r="R5" s="1" t="s">
        <v>62</v>
      </c>
      <c r="S5" s="1" t="s">
        <v>63</v>
      </c>
      <c r="T5" s="1" t="s">
        <v>64</v>
      </c>
      <c r="U5" s="1" t="s">
        <v>65</v>
      </c>
      <c r="V5" s="1" t="s">
        <v>62</v>
      </c>
      <c r="W5" s="1" t="s">
        <v>66</v>
      </c>
      <c r="X5" s="1" t="s">
        <v>67</v>
      </c>
    </row>
    <row r="6" spans="1:24" ht="18.75" x14ac:dyDescent="0.25">
      <c r="A6" s="1" t="s">
        <v>37</v>
      </c>
      <c r="B6" s="1" t="s">
        <v>38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72</v>
      </c>
      <c r="H6" s="1">
        <f t="shared" si="0"/>
        <v>106.4</v>
      </c>
      <c r="I6" s="1" t="s">
        <v>73</v>
      </c>
      <c r="J6" s="1" t="s">
        <v>74</v>
      </c>
      <c r="K6" s="1" t="s">
        <v>75</v>
      </c>
      <c r="L6" s="1" t="s">
        <v>47</v>
      </c>
      <c r="M6" s="1" t="s">
        <v>76</v>
      </c>
      <c r="N6" s="1" t="s">
        <v>73</v>
      </c>
      <c r="O6" s="1" t="s">
        <v>74</v>
      </c>
      <c r="P6" s="1" t="s">
        <v>75</v>
      </c>
      <c r="Q6" s="1" t="s">
        <v>47</v>
      </c>
      <c r="R6" s="1" t="s">
        <v>76</v>
      </c>
      <c r="S6" s="1" t="s">
        <v>77</v>
      </c>
      <c r="T6" s="1" t="s">
        <v>78</v>
      </c>
      <c r="U6" s="1" t="s">
        <v>79</v>
      </c>
      <c r="V6" s="1" t="s">
        <v>76</v>
      </c>
      <c r="W6" s="1" t="s">
        <v>35</v>
      </c>
      <c r="X6" s="1" t="s">
        <v>80</v>
      </c>
    </row>
    <row r="7" spans="1:24" ht="18.75" x14ac:dyDescent="0.25">
      <c r="A7" s="1" t="s">
        <v>37</v>
      </c>
      <c r="B7" s="1" t="s">
        <v>38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1">
        <f t="shared" si="0"/>
        <v>237.4</v>
      </c>
      <c r="I7" s="1" t="s">
        <v>86</v>
      </c>
      <c r="J7" s="1" t="s">
        <v>87</v>
      </c>
      <c r="K7" s="1" t="s">
        <v>47</v>
      </c>
      <c r="L7" s="1" t="s">
        <v>47</v>
      </c>
      <c r="M7" s="1" t="s">
        <v>88</v>
      </c>
      <c r="N7" s="1" t="s">
        <v>86</v>
      </c>
      <c r="O7" s="1" t="s">
        <v>87</v>
      </c>
      <c r="P7" s="1" t="s">
        <v>47</v>
      </c>
      <c r="Q7" s="1" t="s">
        <v>47</v>
      </c>
      <c r="R7" s="1" t="s">
        <v>88</v>
      </c>
      <c r="S7" s="1" t="s">
        <v>89</v>
      </c>
      <c r="T7" s="1" t="s">
        <v>90</v>
      </c>
      <c r="U7" s="1" t="s">
        <v>91</v>
      </c>
      <c r="V7" s="1" t="s">
        <v>88</v>
      </c>
      <c r="W7" s="1" t="s">
        <v>92</v>
      </c>
      <c r="X7" s="1" t="s">
        <v>93</v>
      </c>
    </row>
    <row r="8" spans="1:24" ht="18.75" x14ac:dyDescent="0.25">
      <c r="A8" s="1" t="s">
        <v>37</v>
      </c>
      <c r="B8" s="1" t="s">
        <v>38</v>
      </c>
      <c r="C8" s="1" t="s">
        <v>94</v>
      </c>
      <c r="D8" s="1" t="s">
        <v>95</v>
      </c>
      <c r="E8" s="1" t="s">
        <v>96</v>
      </c>
      <c r="F8" s="1" t="s">
        <v>97</v>
      </c>
      <c r="G8" s="1" t="s">
        <v>98</v>
      </c>
      <c r="H8" s="1">
        <f t="shared" si="0"/>
        <v>164.5</v>
      </c>
      <c r="I8" s="1" t="s">
        <v>97</v>
      </c>
      <c r="J8" s="1" t="s">
        <v>47</v>
      </c>
      <c r="K8" s="1" t="s">
        <v>47</v>
      </c>
      <c r="L8" s="1" t="s">
        <v>47</v>
      </c>
      <c r="M8" s="1" t="s">
        <v>99</v>
      </c>
      <c r="N8" s="1" t="s">
        <v>97</v>
      </c>
      <c r="O8" s="1" t="s">
        <v>47</v>
      </c>
      <c r="P8" s="1" t="s">
        <v>47</v>
      </c>
      <c r="Q8" s="1" t="s">
        <v>47</v>
      </c>
      <c r="R8" s="1" t="s">
        <v>99</v>
      </c>
      <c r="S8" s="1" t="s">
        <v>100</v>
      </c>
      <c r="T8" s="1" t="s">
        <v>101</v>
      </c>
      <c r="U8" s="1" t="s">
        <v>102</v>
      </c>
      <c r="V8" s="1" t="s">
        <v>99</v>
      </c>
      <c r="W8" s="1" t="s">
        <v>103</v>
      </c>
      <c r="X8" s="1" t="s">
        <v>104</v>
      </c>
    </row>
    <row r="9" spans="1:24" ht="18.75" x14ac:dyDescent="0.25">
      <c r="A9" s="1" t="s">
        <v>37</v>
      </c>
      <c r="B9" s="1" t="s">
        <v>38</v>
      </c>
      <c r="C9" s="1" t="s">
        <v>105</v>
      </c>
      <c r="D9" s="1" t="s">
        <v>106</v>
      </c>
      <c r="E9" s="1" t="s">
        <v>107</v>
      </c>
      <c r="F9" s="1" t="s">
        <v>108</v>
      </c>
      <c r="G9" s="1" t="s">
        <v>109</v>
      </c>
      <c r="H9" s="1">
        <f t="shared" si="0"/>
        <v>141.69999999999999</v>
      </c>
      <c r="I9" s="1" t="s">
        <v>110</v>
      </c>
      <c r="J9" s="1" t="s">
        <v>47</v>
      </c>
      <c r="K9" s="1" t="s">
        <v>111</v>
      </c>
      <c r="L9" s="1" t="s">
        <v>112</v>
      </c>
      <c r="M9" s="1" t="s">
        <v>113</v>
      </c>
      <c r="N9" s="1" t="s">
        <v>110</v>
      </c>
      <c r="O9" s="1" t="s">
        <v>47</v>
      </c>
      <c r="P9" s="1" t="s">
        <v>111</v>
      </c>
      <c r="Q9" s="1" t="s">
        <v>112</v>
      </c>
      <c r="R9" s="1" t="s">
        <v>113</v>
      </c>
      <c r="S9" s="1" t="s">
        <v>114</v>
      </c>
      <c r="T9" s="1" t="s">
        <v>115</v>
      </c>
      <c r="U9" s="1" t="s">
        <v>116</v>
      </c>
      <c r="V9" s="1" t="s">
        <v>113</v>
      </c>
      <c r="W9" s="1" t="s">
        <v>117</v>
      </c>
      <c r="X9" s="1" t="s">
        <v>118</v>
      </c>
    </row>
    <row r="10" spans="1:24" ht="18.75" x14ac:dyDescent="0.25">
      <c r="A10" s="1" t="s">
        <v>37</v>
      </c>
      <c r="B10" s="1" t="s">
        <v>38</v>
      </c>
      <c r="C10" s="1" t="s">
        <v>119</v>
      </c>
      <c r="D10" s="1" t="s">
        <v>120</v>
      </c>
      <c r="E10" s="1" t="s">
        <v>121</v>
      </c>
      <c r="F10" s="1" t="s">
        <v>122</v>
      </c>
      <c r="G10" s="1" t="s">
        <v>123</v>
      </c>
      <c r="H10" s="1">
        <f t="shared" si="0"/>
        <v>61.4</v>
      </c>
      <c r="I10" s="1" t="s">
        <v>124</v>
      </c>
      <c r="J10" s="1" t="s">
        <v>125</v>
      </c>
      <c r="K10" s="1" t="s">
        <v>47</v>
      </c>
      <c r="L10" s="1" t="s">
        <v>47</v>
      </c>
      <c r="M10" s="1" t="s">
        <v>126</v>
      </c>
      <c r="N10" s="1" t="s">
        <v>124</v>
      </c>
      <c r="O10" s="1" t="s">
        <v>125</v>
      </c>
      <c r="P10" s="1" t="s">
        <v>47</v>
      </c>
      <c r="Q10" s="1" t="s">
        <v>47</v>
      </c>
      <c r="R10" s="1" t="s">
        <v>126</v>
      </c>
      <c r="S10" s="1" t="s">
        <v>127</v>
      </c>
      <c r="T10" s="1" t="s">
        <v>128</v>
      </c>
      <c r="U10" s="1" t="s">
        <v>129</v>
      </c>
      <c r="V10" s="1" t="s">
        <v>126</v>
      </c>
      <c r="W10" s="1" t="s">
        <v>130</v>
      </c>
      <c r="X10" s="1" t="s">
        <v>131</v>
      </c>
    </row>
    <row r="11" spans="1:24" ht="18.75" x14ac:dyDescent="0.25">
      <c r="A11" s="1" t="s">
        <v>37</v>
      </c>
      <c r="B11" s="1" t="s">
        <v>38</v>
      </c>
      <c r="C11" s="1" t="s">
        <v>132</v>
      </c>
      <c r="D11" s="1" t="s">
        <v>133</v>
      </c>
      <c r="E11" s="1" t="s">
        <v>134</v>
      </c>
      <c r="F11" s="1" t="s">
        <v>135</v>
      </c>
      <c r="G11" s="1" t="s">
        <v>136</v>
      </c>
      <c r="H11" s="1">
        <f t="shared" si="0"/>
        <v>199.4</v>
      </c>
      <c r="I11" s="1" t="s">
        <v>137</v>
      </c>
      <c r="J11" s="1" t="s">
        <v>138</v>
      </c>
      <c r="K11" s="1" t="s">
        <v>139</v>
      </c>
      <c r="L11" s="1" t="s">
        <v>140</v>
      </c>
      <c r="M11" s="1" t="s">
        <v>141</v>
      </c>
      <c r="N11" s="1" t="s">
        <v>137</v>
      </c>
      <c r="O11" s="1" t="s">
        <v>138</v>
      </c>
      <c r="P11" s="1" t="s">
        <v>139</v>
      </c>
      <c r="Q11" s="1" t="s">
        <v>140</v>
      </c>
      <c r="R11" s="1" t="s">
        <v>141</v>
      </c>
      <c r="S11" s="1" t="s">
        <v>142</v>
      </c>
      <c r="T11" s="1" t="s">
        <v>143</v>
      </c>
      <c r="U11" s="1" t="s">
        <v>144</v>
      </c>
      <c r="V11" s="1" t="s">
        <v>141</v>
      </c>
      <c r="W11" s="1" t="s">
        <v>145</v>
      </c>
      <c r="X11" s="1" t="s">
        <v>146</v>
      </c>
    </row>
    <row r="12" spans="1:24" ht="18.75" x14ac:dyDescent="0.25">
      <c r="A12" s="1" t="s">
        <v>37</v>
      </c>
      <c r="B12" s="1" t="s">
        <v>38</v>
      </c>
      <c r="C12" s="1" t="s">
        <v>147</v>
      </c>
      <c r="D12" s="1" t="s">
        <v>148</v>
      </c>
      <c r="E12" s="1" t="s">
        <v>149</v>
      </c>
      <c r="F12" s="1" t="s">
        <v>150</v>
      </c>
      <c r="G12" s="1" t="s">
        <v>75</v>
      </c>
      <c r="H12" s="1">
        <f t="shared" si="0"/>
        <v>283.8</v>
      </c>
      <c r="I12" s="1" t="s">
        <v>35</v>
      </c>
      <c r="J12" s="1" t="s">
        <v>151</v>
      </c>
      <c r="K12" s="1" t="s">
        <v>152</v>
      </c>
      <c r="L12" s="1" t="s">
        <v>47</v>
      </c>
      <c r="M12" s="1" t="s">
        <v>153</v>
      </c>
      <c r="N12" s="1" t="s">
        <v>35</v>
      </c>
      <c r="O12" s="1" t="s">
        <v>151</v>
      </c>
      <c r="P12" s="1" t="s">
        <v>152</v>
      </c>
      <c r="Q12" s="1" t="s">
        <v>47</v>
      </c>
      <c r="R12" s="1" t="s">
        <v>153</v>
      </c>
      <c r="S12" s="1" t="s">
        <v>154</v>
      </c>
      <c r="T12" s="1" t="s">
        <v>155</v>
      </c>
      <c r="U12" s="1" t="s">
        <v>156</v>
      </c>
      <c r="V12" s="1" t="s">
        <v>153</v>
      </c>
      <c r="W12" s="1" t="s">
        <v>157</v>
      </c>
      <c r="X12" s="1" t="s">
        <v>158</v>
      </c>
    </row>
    <row r="13" spans="1:24" ht="18.75" x14ac:dyDescent="0.25">
      <c r="A13" s="1" t="s">
        <v>37</v>
      </c>
      <c r="B13" s="1" t="s">
        <v>38</v>
      </c>
      <c r="C13" s="1" t="s">
        <v>159</v>
      </c>
      <c r="D13" s="1" t="s">
        <v>160</v>
      </c>
      <c r="E13" s="1" t="s">
        <v>161</v>
      </c>
      <c r="F13" s="1" t="s">
        <v>162</v>
      </c>
      <c r="G13" s="1" t="s">
        <v>163</v>
      </c>
      <c r="H13" s="1">
        <f t="shared" si="0"/>
        <v>215.39999999999998</v>
      </c>
      <c r="I13" s="1" t="s">
        <v>162</v>
      </c>
      <c r="J13" s="1" t="s">
        <v>164</v>
      </c>
      <c r="K13" s="1" t="s">
        <v>47</v>
      </c>
      <c r="L13" s="1" t="s">
        <v>47</v>
      </c>
      <c r="M13" s="1" t="s">
        <v>165</v>
      </c>
      <c r="N13" s="1" t="s">
        <v>162</v>
      </c>
      <c r="O13" s="1" t="s">
        <v>164</v>
      </c>
      <c r="P13" s="1" t="s">
        <v>47</v>
      </c>
      <c r="Q13" s="1" t="s">
        <v>47</v>
      </c>
      <c r="R13" s="1" t="s">
        <v>165</v>
      </c>
      <c r="S13" s="1" t="s">
        <v>166</v>
      </c>
      <c r="T13" s="1" t="s">
        <v>167</v>
      </c>
      <c r="U13" s="1" t="s">
        <v>168</v>
      </c>
      <c r="V13" s="1" t="s">
        <v>165</v>
      </c>
      <c r="W13" s="1" t="s">
        <v>169</v>
      </c>
      <c r="X13" s="1" t="s">
        <v>170</v>
      </c>
    </row>
    <row r="14" spans="1:24" ht="18.75" x14ac:dyDescent="0.25">
      <c r="A14" s="1" t="s">
        <v>37</v>
      </c>
      <c r="B14" s="1" t="s">
        <v>38</v>
      </c>
      <c r="C14" s="1" t="s">
        <v>171</v>
      </c>
      <c r="D14" s="1" t="s">
        <v>172</v>
      </c>
      <c r="E14" s="1" t="s">
        <v>173</v>
      </c>
      <c r="F14" s="1" t="s">
        <v>174</v>
      </c>
      <c r="G14" s="1" t="s">
        <v>175</v>
      </c>
      <c r="H14" s="1">
        <f t="shared" si="0"/>
        <v>122.4</v>
      </c>
      <c r="I14" s="1" t="s">
        <v>176</v>
      </c>
      <c r="J14" s="1" t="s">
        <v>177</v>
      </c>
      <c r="K14" s="1" t="s">
        <v>122</v>
      </c>
      <c r="L14" s="1" t="s">
        <v>178</v>
      </c>
      <c r="M14" s="1" t="s">
        <v>179</v>
      </c>
      <c r="N14" s="1" t="s">
        <v>176</v>
      </c>
      <c r="O14" s="1" t="s">
        <v>177</v>
      </c>
      <c r="P14" s="1" t="s">
        <v>122</v>
      </c>
      <c r="Q14" s="1" t="s">
        <v>178</v>
      </c>
      <c r="R14" s="1" t="s">
        <v>179</v>
      </c>
      <c r="S14" s="1" t="s">
        <v>180</v>
      </c>
      <c r="T14" s="1" t="s">
        <v>181</v>
      </c>
      <c r="U14" s="1" t="s">
        <v>182</v>
      </c>
      <c r="V14" s="1" t="s">
        <v>179</v>
      </c>
      <c r="W14" s="1" t="s">
        <v>66</v>
      </c>
      <c r="X14" s="1" t="s">
        <v>183</v>
      </c>
    </row>
    <row r="15" spans="1:24" ht="18.75" x14ac:dyDescent="0.25">
      <c r="A15" s="1" t="s">
        <v>37</v>
      </c>
      <c r="B15" s="1" t="s">
        <v>38</v>
      </c>
      <c r="C15" s="1" t="s">
        <v>184</v>
      </c>
      <c r="D15" s="1" t="s">
        <v>185</v>
      </c>
      <c r="E15" s="1" t="s">
        <v>186</v>
      </c>
      <c r="F15" s="1" t="s">
        <v>187</v>
      </c>
      <c r="G15" s="1" t="s">
        <v>125</v>
      </c>
      <c r="H15" s="1">
        <f t="shared" si="0"/>
        <v>283</v>
      </c>
      <c r="I15" s="1" t="s">
        <v>149</v>
      </c>
      <c r="J15" s="1" t="s">
        <v>188</v>
      </c>
      <c r="K15" s="1" t="s">
        <v>47</v>
      </c>
      <c r="L15" s="1" t="s">
        <v>47</v>
      </c>
      <c r="M15" s="1" t="s">
        <v>189</v>
      </c>
      <c r="N15" s="1" t="s">
        <v>149</v>
      </c>
      <c r="O15" s="1" t="s">
        <v>188</v>
      </c>
      <c r="P15" s="1" t="s">
        <v>47</v>
      </c>
      <c r="Q15" s="1" t="s">
        <v>47</v>
      </c>
      <c r="R15" s="1" t="s">
        <v>189</v>
      </c>
      <c r="S15" s="1" t="s">
        <v>190</v>
      </c>
      <c r="T15" s="1" t="s">
        <v>191</v>
      </c>
      <c r="U15" s="1" t="s">
        <v>192</v>
      </c>
      <c r="V15" s="1" t="s">
        <v>189</v>
      </c>
      <c r="W15" s="1" t="s">
        <v>193</v>
      </c>
      <c r="X15" s="1" t="s">
        <v>194</v>
      </c>
    </row>
    <row r="16" spans="1:24" ht="18.75" x14ac:dyDescent="0.25">
      <c r="A16" s="1" t="s">
        <v>37</v>
      </c>
      <c r="B16" s="1" t="s">
        <v>38</v>
      </c>
      <c r="C16" s="1" t="s">
        <v>195</v>
      </c>
      <c r="D16" s="1" t="s">
        <v>196</v>
      </c>
      <c r="E16" s="1" t="s">
        <v>197</v>
      </c>
      <c r="F16" s="1" t="s">
        <v>198</v>
      </c>
      <c r="G16" s="1" t="s">
        <v>58</v>
      </c>
      <c r="H16" s="1">
        <f t="shared" si="0"/>
        <v>143.39999999999998</v>
      </c>
      <c r="I16" s="1" t="s">
        <v>199</v>
      </c>
      <c r="J16" s="1" t="s">
        <v>47</v>
      </c>
      <c r="K16" s="1" t="s">
        <v>47</v>
      </c>
      <c r="L16" s="1" t="s">
        <v>200</v>
      </c>
      <c r="M16" s="1" t="s">
        <v>201</v>
      </c>
      <c r="N16" s="1" t="s">
        <v>199</v>
      </c>
      <c r="O16" s="1" t="s">
        <v>47</v>
      </c>
      <c r="P16" s="1" t="s">
        <v>47</v>
      </c>
      <c r="Q16" s="1" t="s">
        <v>200</v>
      </c>
      <c r="R16" s="1" t="s">
        <v>201</v>
      </c>
      <c r="S16" s="1" t="s">
        <v>202</v>
      </c>
      <c r="T16" s="1" t="s">
        <v>203</v>
      </c>
      <c r="U16" s="1" t="s">
        <v>204</v>
      </c>
      <c r="V16" s="1" t="s">
        <v>201</v>
      </c>
      <c r="W16" s="1" t="s">
        <v>205</v>
      </c>
      <c r="X16" s="1" t="s">
        <v>206</v>
      </c>
    </row>
    <row r="17" spans="1:24" ht="18.75" x14ac:dyDescent="0.25">
      <c r="A17" s="1" t="s">
        <v>37</v>
      </c>
      <c r="B17" s="1" t="s">
        <v>38</v>
      </c>
      <c r="C17" s="1" t="s">
        <v>207</v>
      </c>
      <c r="D17" s="1" t="s">
        <v>208</v>
      </c>
      <c r="E17" s="1" t="s">
        <v>121</v>
      </c>
      <c r="F17" s="1" t="s">
        <v>209</v>
      </c>
      <c r="G17" s="1" t="s">
        <v>210</v>
      </c>
      <c r="H17" s="1">
        <f t="shared" si="0"/>
        <v>66.099999999999994</v>
      </c>
      <c r="I17" s="1" t="s">
        <v>211</v>
      </c>
      <c r="J17" s="1" t="s">
        <v>47</v>
      </c>
      <c r="K17" s="1" t="s">
        <v>212</v>
      </c>
      <c r="L17" s="1" t="s">
        <v>213</v>
      </c>
      <c r="M17" s="1" t="s">
        <v>214</v>
      </c>
      <c r="N17" s="1" t="s">
        <v>211</v>
      </c>
      <c r="O17" s="1" t="s">
        <v>47</v>
      </c>
      <c r="P17" s="1" t="s">
        <v>212</v>
      </c>
      <c r="Q17" s="1" t="s">
        <v>213</v>
      </c>
      <c r="R17" s="1" t="s">
        <v>214</v>
      </c>
      <c r="S17" s="1" t="s">
        <v>215</v>
      </c>
      <c r="T17" s="1" t="s">
        <v>216</v>
      </c>
      <c r="U17" s="1" t="s">
        <v>217</v>
      </c>
      <c r="V17" s="1" t="s">
        <v>214</v>
      </c>
      <c r="W17" s="1" t="s">
        <v>218</v>
      </c>
      <c r="X17" s="1" t="s">
        <v>219</v>
      </c>
    </row>
    <row r="18" spans="1:24" ht="18.75" x14ac:dyDescent="0.25">
      <c r="A18" s="1" t="s">
        <v>37</v>
      </c>
      <c r="B18" s="1" t="s">
        <v>38</v>
      </c>
      <c r="C18" s="1" t="s">
        <v>220</v>
      </c>
      <c r="D18" s="1" t="s">
        <v>221</v>
      </c>
      <c r="E18" s="1" t="s">
        <v>222</v>
      </c>
      <c r="F18" s="1" t="s">
        <v>223</v>
      </c>
      <c r="G18" s="1" t="s">
        <v>224</v>
      </c>
      <c r="H18" s="1">
        <f t="shared" si="0"/>
        <v>82.5</v>
      </c>
      <c r="I18" s="1" t="s">
        <v>225</v>
      </c>
      <c r="J18" s="1" t="s">
        <v>47</v>
      </c>
      <c r="K18" s="1" t="s">
        <v>47</v>
      </c>
      <c r="L18" s="1" t="s">
        <v>47</v>
      </c>
      <c r="M18" s="1" t="s">
        <v>226</v>
      </c>
      <c r="N18" s="1" t="s">
        <v>225</v>
      </c>
      <c r="O18" s="1" t="s">
        <v>47</v>
      </c>
      <c r="P18" s="1" t="s">
        <v>47</v>
      </c>
      <c r="Q18" s="1" t="s">
        <v>47</v>
      </c>
      <c r="R18" s="1" t="s">
        <v>226</v>
      </c>
      <c r="S18" s="1" t="s">
        <v>227</v>
      </c>
      <c r="T18" s="1" t="s">
        <v>228</v>
      </c>
      <c r="U18" s="1" t="s">
        <v>229</v>
      </c>
      <c r="V18" s="1" t="s">
        <v>226</v>
      </c>
      <c r="W18" s="1" t="s">
        <v>230</v>
      </c>
      <c r="X18" s="1" t="s">
        <v>231</v>
      </c>
    </row>
    <row r="19" spans="1:24" ht="18.75" x14ac:dyDescent="0.25">
      <c r="A19" s="1" t="s">
        <v>37</v>
      </c>
      <c r="B19" s="1" t="s">
        <v>38</v>
      </c>
      <c r="C19" s="1" t="s">
        <v>232</v>
      </c>
      <c r="D19" s="1" t="s">
        <v>233</v>
      </c>
      <c r="E19" s="1" t="s">
        <v>234</v>
      </c>
      <c r="F19" s="1" t="s">
        <v>235</v>
      </c>
      <c r="G19" s="1" t="s">
        <v>236</v>
      </c>
      <c r="H19" s="1">
        <f t="shared" si="0"/>
        <v>249.89999999999998</v>
      </c>
      <c r="I19" s="1" t="s">
        <v>46</v>
      </c>
      <c r="J19" s="1" t="s">
        <v>237</v>
      </c>
      <c r="K19" s="1" t="s">
        <v>238</v>
      </c>
      <c r="L19" s="1" t="s">
        <v>239</v>
      </c>
      <c r="M19" s="1" t="s">
        <v>240</v>
      </c>
      <c r="N19" s="1" t="s">
        <v>46</v>
      </c>
      <c r="O19" s="1" t="s">
        <v>237</v>
      </c>
      <c r="P19" s="1" t="s">
        <v>238</v>
      </c>
      <c r="Q19" s="1" t="s">
        <v>239</v>
      </c>
      <c r="R19" s="1" t="s">
        <v>240</v>
      </c>
      <c r="S19" s="1" t="s">
        <v>241</v>
      </c>
      <c r="T19" s="1" t="s">
        <v>242</v>
      </c>
      <c r="U19" s="1" t="s">
        <v>243</v>
      </c>
      <c r="V19" s="1" t="s">
        <v>240</v>
      </c>
      <c r="W19" s="1" t="s">
        <v>244</v>
      </c>
      <c r="X19" s="1" t="s">
        <v>245</v>
      </c>
    </row>
    <row r="20" spans="1:24" ht="18.75" x14ac:dyDescent="0.25">
      <c r="A20" s="1" t="s">
        <v>37</v>
      </c>
      <c r="B20" s="1" t="s">
        <v>38</v>
      </c>
      <c r="C20" s="1" t="s">
        <v>246</v>
      </c>
      <c r="D20" s="1" t="s">
        <v>247</v>
      </c>
      <c r="E20" s="1" t="s">
        <v>248</v>
      </c>
      <c r="F20" s="1" t="s">
        <v>249</v>
      </c>
      <c r="G20" s="1" t="s">
        <v>250</v>
      </c>
      <c r="H20" s="1">
        <f t="shared" si="0"/>
        <v>106.2</v>
      </c>
      <c r="I20" s="1" t="s">
        <v>110</v>
      </c>
      <c r="J20" s="1" t="s">
        <v>251</v>
      </c>
      <c r="K20" s="1" t="s">
        <v>47</v>
      </c>
      <c r="L20" s="1" t="s">
        <v>47</v>
      </c>
      <c r="M20" s="1" t="s">
        <v>252</v>
      </c>
      <c r="N20" s="1" t="s">
        <v>110</v>
      </c>
      <c r="O20" s="1" t="s">
        <v>251</v>
      </c>
      <c r="P20" s="1" t="s">
        <v>47</v>
      </c>
      <c r="Q20" s="1" t="s">
        <v>47</v>
      </c>
      <c r="R20" s="1" t="s">
        <v>252</v>
      </c>
      <c r="S20" s="1" t="s">
        <v>253</v>
      </c>
      <c r="T20" s="1" t="s">
        <v>254</v>
      </c>
      <c r="U20" s="1" t="s">
        <v>255</v>
      </c>
      <c r="V20" s="1" t="s">
        <v>252</v>
      </c>
      <c r="W20" s="1" t="s">
        <v>256</v>
      </c>
      <c r="X20" s="1" t="s">
        <v>257</v>
      </c>
    </row>
    <row r="21" spans="1:24" ht="18.75" x14ac:dyDescent="0.25">
      <c r="A21" s="1" t="s">
        <v>37</v>
      </c>
      <c r="B21" s="1" t="s">
        <v>38</v>
      </c>
      <c r="C21" s="1" t="s">
        <v>258</v>
      </c>
      <c r="D21" s="1" t="s">
        <v>259</v>
      </c>
      <c r="E21" s="1" t="s">
        <v>235</v>
      </c>
      <c r="F21" s="1" t="s">
        <v>260</v>
      </c>
      <c r="G21" s="1" t="s">
        <v>261</v>
      </c>
      <c r="H21" s="1">
        <f t="shared" si="0"/>
        <v>226.5</v>
      </c>
      <c r="I21" s="1" t="s">
        <v>262</v>
      </c>
      <c r="J21" s="1" t="s">
        <v>263</v>
      </c>
      <c r="K21" s="1" t="s">
        <v>47</v>
      </c>
      <c r="L21" s="1" t="s">
        <v>47</v>
      </c>
      <c r="M21" s="1" t="s">
        <v>264</v>
      </c>
      <c r="N21" s="1" t="s">
        <v>262</v>
      </c>
      <c r="O21" s="1" t="s">
        <v>263</v>
      </c>
      <c r="P21" s="1" t="s">
        <v>47</v>
      </c>
      <c r="Q21" s="1" t="s">
        <v>47</v>
      </c>
      <c r="R21" s="1" t="s">
        <v>264</v>
      </c>
      <c r="S21" s="1" t="s">
        <v>265</v>
      </c>
      <c r="T21" s="1" t="s">
        <v>266</v>
      </c>
      <c r="U21" s="1" t="s">
        <v>267</v>
      </c>
      <c r="V21" s="1" t="s">
        <v>264</v>
      </c>
      <c r="W21" s="1" t="s">
        <v>268</v>
      </c>
      <c r="X21" s="1" t="s">
        <v>269</v>
      </c>
    </row>
    <row r="22" spans="1:24" ht="18.75" x14ac:dyDescent="0.25">
      <c r="A22" s="1" t="s">
        <v>37</v>
      </c>
      <c r="B22" s="1" t="s">
        <v>38</v>
      </c>
      <c r="C22" s="1" t="s">
        <v>270</v>
      </c>
      <c r="D22" s="1" t="s">
        <v>271</v>
      </c>
      <c r="E22" s="1" t="s">
        <v>272</v>
      </c>
      <c r="F22" s="1" t="s">
        <v>273</v>
      </c>
      <c r="G22" s="1" t="s">
        <v>274</v>
      </c>
      <c r="H22" s="1">
        <f t="shared" si="0"/>
        <v>273</v>
      </c>
      <c r="I22" s="1" t="s">
        <v>275</v>
      </c>
      <c r="J22" s="1" t="s">
        <v>276</v>
      </c>
      <c r="K22" s="1" t="s">
        <v>277</v>
      </c>
      <c r="L22" s="1" t="s">
        <v>278</v>
      </c>
      <c r="M22" s="1" t="s">
        <v>279</v>
      </c>
      <c r="N22" s="1" t="s">
        <v>275</v>
      </c>
      <c r="O22" s="1" t="s">
        <v>276</v>
      </c>
      <c r="P22" s="1" t="s">
        <v>277</v>
      </c>
      <c r="Q22" s="1" t="s">
        <v>278</v>
      </c>
      <c r="R22" s="1" t="s">
        <v>279</v>
      </c>
      <c r="S22" s="1" t="s">
        <v>280</v>
      </c>
      <c r="T22" s="1" t="s">
        <v>281</v>
      </c>
      <c r="U22" s="1" t="s">
        <v>282</v>
      </c>
      <c r="V22" s="1" t="s">
        <v>279</v>
      </c>
      <c r="W22" s="1" t="s">
        <v>198</v>
      </c>
      <c r="X22" s="1" t="s">
        <v>283</v>
      </c>
    </row>
    <row r="23" spans="1:24" ht="18.75" x14ac:dyDescent="0.25">
      <c r="A23" s="1" t="s">
        <v>37</v>
      </c>
      <c r="B23" s="1" t="s">
        <v>38</v>
      </c>
      <c r="C23" s="1" t="s">
        <v>284</v>
      </c>
      <c r="D23" s="1" t="s">
        <v>285</v>
      </c>
      <c r="E23" s="1" t="s">
        <v>286</v>
      </c>
      <c r="F23" s="1" t="s">
        <v>287</v>
      </c>
      <c r="G23" s="1" t="s">
        <v>288</v>
      </c>
      <c r="H23" s="1">
        <f t="shared" si="0"/>
        <v>206.5</v>
      </c>
      <c r="I23" s="1" t="s">
        <v>289</v>
      </c>
      <c r="J23" s="1" t="s">
        <v>290</v>
      </c>
      <c r="K23" s="1" t="s">
        <v>291</v>
      </c>
      <c r="L23" s="1" t="s">
        <v>47</v>
      </c>
      <c r="M23" s="1" t="s">
        <v>292</v>
      </c>
      <c r="N23" s="1" t="s">
        <v>289</v>
      </c>
      <c r="O23" s="1" t="s">
        <v>290</v>
      </c>
      <c r="P23" s="1" t="s">
        <v>291</v>
      </c>
      <c r="Q23" s="1" t="s">
        <v>47</v>
      </c>
      <c r="R23" s="1" t="s">
        <v>292</v>
      </c>
      <c r="S23" s="1" t="s">
        <v>293</v>
      </c>
      <c r="T23" s="1" t="s">
        <v>294</v>
      </c>
      <c r="U23" s="1" t="s">
        <v>295</v>
      </c>
      <c r="V23" s="1" t="s">
        <v>292</v>
      </c>
      <c r="W23" s="1" t="s">
        <v>296</v>
      </c>
      <c r="X23" s="1" t="s">
        <v>297</v>
      </c>
    </row>
    <row r="24" spans="1:24" ht="18.75" x14ac:dyDescent="0.25">
      <c r="A24" s="1" t="s">
        <v>37</v>
      </c>
      <c r="B24" s="1" t="s">
        <v>38</v>
      </c>
      <c r="C24" s="1" t="s">
        <v>298</v>
      </c>
      <c r="D24" s="1" t="s">
        <v>299</v>
      </c>
      <c r="E24" s="1" t="s">
        <v>300</v>
      </c>
      <c r="F24" s="1" t="s">
        <v>301</v>
      </c>
      <c r="G24" s="1" t="s">
        <v>302</v>
      </c>
      <c r="H24" s="1">
        <f t="shared" si="0"/>
        <v>132.6</v>
      </c>
      <c r="I24" s="1" t="s">
        <v>303</v>
      </c>
      <c r="J24" s="1" t="s">
        <v>47</v>
      </c>
      <c r="K24" s="1" t="s">
        <v>47</v>
      </c>
      <c r="L24" s="1" t="s">
        <v>47</v>
      </c>
      <c r="M24" s="1" t="s">
        <v>304</v>
      </c>
      <c r="N24" s="1" t="s">
        <v>303</v>
      </c>
      <c r="O24" s="1" t="s">
        <v>47</v>
      </c>
      <c r="P24" s="1" t="s">
        <v>47</v>
      </c>
      <c r="Q24" s="1" t="s">
        <v>47</v>
      </c>
      <c r="R24" s="1" t="s">
        <v>304</v>
      </c>
      <c r="S24" s="1" t="s">
        <v>305</v>
      </c>
      <c r="T24" s="1" t="s">
        <v>306</v>
      </c>
      <c r="U24" s="1" t="s">
        <v>307</v>
      </c>
      <c r="V24" s="1" t="s">
        <v>304</v>
      </c>
      <c r="W24" s="1" t="s">
        <v>308</v>
      </c>
      <c r="X24" s="1" t="s">
        <v>309</v>
      </c>
    </row>
    <row r="25" spans="1:24" ht="18.75" x14ac:dyDescent="0.25">
      <c r="A25" s="1" t="s">
        <v>37</v>
      </c>
      <c r="B25" s="1" t="s">
        <v>38</v>
      </c>
      <c r="C25" s="1" t="s">
        <v>310</v>
      </c>
      <c r="D25" s="1" t="s">
        <v>311</v>
      </c>
      <c r="E25" s="1" t="s">
        <v>121</v>
      </c>
      <c r="F25" s="1" t="s">
        <v>312</v>
      </c>
      <c r="G25" s="1" t="s">
        <v>59</v>
      </c>
      <c r="H25" s="1">
        <f t="shared" si="0"/>
        <v>83.3</v>
      </c>
      <c r="I25" s="1" t="s">
        <v>263</v>
      </c>
      <c r="J25" s="1" t="s">
        <v>47</v>
      </c>
      <c r="K25" s="1" t="s">
        <v>47</v>
      </c>
      <c r="L25" s="1" t="s">
        <v>47</v>
      </c>
      <c r="M25" s="1" t="s">
        <v>313</v>
      </c>
      <c r="N25" s="1" t="s">
        <v>263</v>
      </c>
      <c r="O25" s="1" t="s">
        <v>47</v>
      </c>
      <c r="P25" s="1" t="s">
        <v>47</v>
      </c>
      <c r="Q25" s="1" t="s">
        <v>47</v>
      </c>
      <c r="R25" s="1" t="s">
        <v>313</v>
      </c>
      <c r="S25" s="1" t="s">
        <v>314</v>
      </c>
      <c r="T25" s="1" t="s">
        <v>315</v>
      </c>
      <c r="U25" s="1" t="s">
        <v>316</v>
      </c>
      <c r="V25" s="1" t="s">
        <v>313</v>
      </c>
      <c r="W25" s="1" t="s">
        <v>317</v>
      </c>
      <c r="X25" s="1" t="s">
        <v>318</v>
      </c>
    </row>
    <row r="26" spans="1:24" ht="18.75" x14ac:dyDescent="0.25">
      <c r="A26" s="1" t="s">
        <v>37</v>
      </c>
      <c r="B26" s="1" t="s">
        <v>38</v>
      </c>
      <c r="C26" s="1" t="s">
        <v>319</v>
      </c>
      <c r="D26" s="1" t="s">
        <v>320</v>
      </c>
      <c r="E26" s="1" t="s">
        <v>321</v>
      </c>
      <c r="F26" s="1" t="s">
        <v>322</v>
      </c>
      <c r="G26" s="1" t="s">
        <v>323</v>
      </c>
      <c r="H26" s="1">
        <f t="shared" si="0"/>
        <v>204.4</v>
      </c>
      <c r="I26" s="1" t="s">
        <v>324</v>
      </c>
      <c r="J26" s="1" t="s">
        <v>325</v>
      </c>
      <c r="K26" s="1" t="s">
        <v>326</v>
      </c>
      <c r="L26" s="1" t="s">
        <v>327</v>
      </c>
      <c r="M26" s="1" t="s">
        <v>328</v>
      </c>
      <c r="N26" s="1" t="s">
        <v>324</v>
      </c>
      <c r="O26" s="1" t="s">
        <v>325</v>
      </c>
      <c r="P26" s="1" t="s">
        <v>326</v>
      </c>
      <c r="Q26" s="1" t="s">
        <v>327</v>
      </c>
      <c r="R26" s="1" t="s">
        <v>328</v>
      </c>
      <c r="S26" s="1" t="s">
        <v>329</v>
      </c>
      <c r="T26" s="1" t="s">
        <v>330</v>
      </c>
      <c r="U26" s="1" t="s">
        <v>331</v>
      </c>
      <c r="V26" s="1" t="s">
        <v>328</v>
      </c>
      <c r="W26" s="1" t="s">
        <v>235</v>
      </c>
      <c r="X26" s="1" t="s">
        <v>332</v>
      </c>
    </row>
    <row r="27" spans="1:24" ht="18.75" x14ac:dyDescent="0.25">
      <c r="A27" s="1" t="s">
        <v>37</v>
      </c>
      <c r="B27" s="1" t="s">
        <v>38</v>
      </c>
      <c r="C27" s="1" t="s">
        <v>333</v>
      </c>
      <c r="D27" s="1" t="s">
        <v>334</v>
      </c>
      <c r="E27" s="1" t="s">
        <v>244</v>
      </c>
      <c r="F27" s="1" t="s">
        <v>335</v>
      </c>
      <c r="G27" s="1" t="s">
        <v>336</v>
      </c>
      <c r="H27" s="1">
        <f t="shared" si="0"/>
        <v>259.10000000000002</v>
      </c>
      <c r="I27" s="1" t="s">
        <v>337</v>
      </c>
      <c r="J27" s="1" t="s">
        <v>338</v>
      </c>
      <c r="K27" s="1" t="s">
        <v>164</v>
      </c>
      <c r="L27" s="1" t="s">
        <v>339</v>
      </c>
      <c r="M27" s="1" t="s">
        <v>340</v>
      </c>
      <c r="N27" s="1" t="s">
        <v>337</v>
      </c>
      <c r="O27" s="1" t="s">
        <v>338</v>
      </c>
      <c r="P27" s="1" t="s">
        <v>164</v>
      </c>
      <c r="Q27" s="1" t="s">
        <v>339</v>
      </c>
      <c r="R27" s="1" t="s">
        <v>340</v>
      </c>
      <c r="S27" s="1" t="s">
        <v>341</v>
      </c>
      <c r="T27" s="1" t="s">
        <v>342</v>
      </c>
      <c r="U27" s="1" t="s">
        <v>343</v>
      </c>
      <c r="V27" s="1" t="s">
        <v>340</v>
      </c>
      <c r="W27" s="1" t="s">
        <v>335</v>
      </c>
      <c r="X27" s="1" t="s">
        <v>344</v>
      </c>
    </row>
    <row r="28" spans="1:24" ht="18.75" x14ac:dyDescent="0.25">
      <c r="A28" s="1" t="s">
        <v>37</v>
      </c>
      <c r="B28" s="1" t="s">
        <v>38</v>
      </c>
      <c r="C28" s="1" t="s">
        <v>345</v>
      </c>
      <c r="D28" s="1" t="s">
        <v>346</v>
      </c>
      <c r="E28" s="1" t="s">
        <v>347</v>
      </c>
      <c r="F28" s="1" t="s">
        <v>193</v>
      </c>
      <c r="G28" s="1" t="s">
        <v>348</v>
      </c>
      <c r="H28" s="1">
        <f t="shared" si="0"/>
        <v>193.4</v>
      </c>
      <c r="I28" s="1" t="s">
        <v>97</v>
      </c>
      <c r="J28" s="1" t="s">
        <v>47</v>
      </c>
      <c r="K28" s="1" t="s">
        <v>349</v>
      </c>
      <c r="L28" s="1" t="s">
        <v>98</v>
      </c>
      <c r="M28" s="1" t="s">
        <v>350</v>
      </c>
      <c r="N28" s="1" t="s">
        <v>97</v>
      </c>
      <c r="O28" s="1" t="s">
        <v>47</v>
      </c>
      <c r="P28" s="1" t="s">
        <v>349</v>
      </c>
      <c r="Q28" s="1" t="s">
        <v>98</v>
      </c>
      <c r="R28" s="1" t="s">
        <v>350</v>
      </c>
      <c r="S28" s="1" t="s">
        <v>351</v>
      </c>
      <c r="T28" s="1" t="s">
        <v>352</v>
      </c>
      <c r="U28" s="1" t="s">
        <v>353</v>
      </c>
      <c r="V28" s="1" t="s">
        <v>350</v>
      </c>
      <c r="W28" s="1" t="s">
        <v>354</v>
      </c>
      <c r="X28" s="1" t="s">
        <v>355</v>
      </c>
    </row>
    <row r="29" spans="1:24" ht="18.75" x14ac:dyDescent="0.25">
      <c r="A29" s="1" t="s">
        <v>37</v>
      </c>
      <c r="B29" s="1" t="s">
        <v>38</v>
      </c>
      <c r="C29" s="1" t="s">
        <v>356</v>
      </c>
      <c r="D29" s="1" t="s">
        <v>357</v>
      </c>
      <c r="E29" s="1" t="s">
        <v>358</v>
      </c>
      <c r="F29" s="1" t="s">
        <v>359</v>
      </c>
      <c r="G29" s="1" t="s">
        <v>360</v>
      </c>
      <c r="H29" s="1">
        <f t="shared" si="0"/>
        <v>139.5</v>
      </c>
      <c r="I29" s="1" t="s">
        <v>361</v>
      </c>
      <c r="J29" s="1" t="s">
        <v>323</v>
      </c>
      <c r="K29" s="1" t="s">
        <v>47</v>
      </c>
      <c r="L29" s="1" t="s">
        <v>47</v>
      </c>
      <c r="M29" s="1" t="s">
        <v>362</v>
      </c>
      <c r="N29" s="1" t="s">
        <v>361</v>
      </c>
      <c r="O29" s="1" t="s">
        <v>323</v>
      </c>
      <c r="P29" s="1" t="s">
        <v>47</v>
      </c>
      <c r="Q29" s="1" t="s">
        <v>47</v>
      </c>
      <c r="R29" s="1" t="s">
        <v>362</v>
      </c>
      <c r="S29" s="1" t="s">
        <v>363</v>
      </c>
      <c r="T29" s="1" t="s">
        <v>364</v>
      </c>
      <c r="U29" s="1" t="s">
        <v>365</v>
      </c>
      <c r="V29" s="1" t="s">
        <v>362</v>
      </c>
      <c r="W29" s="1" t="s">
        <v>126</v>
      </c>
      <c r="X29" s="1" t="s">
        <v>366</v>
      </c>
    </row>
    <row r="30" spans="1:24" ht="18.75" x14ac:dyDescent="0.25">
      <c r="A30" s="1" t="s">
        <v>37</v>
      </c>
      <c r="B30" s="1" t="s">
        <v>38</v>
      </c>
      <c r="C30" s="1" t="s">
        <v>367</v>
      </c>
      <c r="D30" s="1" t="s">
        <v>368</v>
      </c>
      <c r="E30" s="1" t="s">
        <v>244</v>
      </c>
      <c r="F30" s="1" t="s">
        <v>218</v>
      </c>
      <c r="G30" s="1" t="s">
        <v>369</v>
      </c>
      <c r="H30" s="1">
        <f t="shared" si="0"/>
        <v>196.1</v>
      </c>
      <c r="I30" s="1" t="s">
        <v>370</v>
      </c>
      <c r="J30" s="1" t="s">
        <v>47</v>
      </c>
      <c r="K30" s="1" t="s">
        <v>371</v>
      </c>
      <c r="L30" s="1" t="s">
        <v>47</v>
      </c>
      <c r="M30" s="1" t="s">
        <v>372</v>
      </c>
      <c r="N30" s="1" t="s">
        <v>370</v>
      </c>
      <c r="O30" s="1" t="s">
        <v>47</v>
      </c>
      <c r="P30" s="1" t="s">
        <v>371</v>
      </c>
      <c r="Q30" s="1" t="s">
        <v>47</v>
      </c>
      <c r="R30" s="1" t="s">
        <v>372</v>
      </c>
      <c r="S30" s="1" t="s">
        <v>373</v>
      </c>
      <c r="T30" s="1" t="s">
        <v>374</v>
      </c>
      <c r="U30" s="1" t="s">
        <v>375</v>
      </c>
      <c r="V30" s="1" t="s">
        <v>372</v>
      </c>
      <c r="W30" s="1" t="s">
        <v>376</v>
      </c>
      <c r="X30" s="1" t="s">
        <v>377</v>
      </c>
    </row>
    <row r="31" spans="1:24" ht="18.75" x14ac:dyDescent="0.25">
      <c r="A31" s="1" t="s">
        <v>37</v>
      </c>
      <c r="B31" s="1" t="s">
        <v>38</v>
      </c>
      <c r="C31" s="1" t="s">
        <v>378</v>
      </c>
      <c r="D31" s="1" t="s">
        <v>379</v>
      </c>
      <c r="E31" s="1" t="s">
        <v>380</v>
      </c>
      <c r="F31" s="1" t="s">
        <v>381</v>
      </c>
      <c r="G31" s="1" t="s">
        <v>382</v>
      </c>
      <c r="H31" s="1">
        <f t="shared" si="0"/>
        <v>134.4</v>
      </c>
      <c r="I31" s="1" t="s">
        <v>381</v>
      </c>
      <c r="J31" s="1" t="s">
        <v>47</v>
      </c>
      <c r="K31" s="1" t="s">
        <v>47</v>
      </c>
      <c r="L31" s="1" t="s">
        <v>47</v>
      </c>
      <c r="M31" s="1" t="s">
        <v>383</v>
      </c>
      <c r="N31" s="1" t="s">
        <v>381</v>
      </c>
      <c r="O31" s="1" t="s">
        <v>47</v>
      </c>
      <c r="P31" s="1" t="s">
        <v>47</v>
      </c>
      <c r="Q31" s="1" t="s">
        <v>47</v>
      </c>
      <c r="R31" s="1" t="s">
        <v>383</v>
      </c>
      <c r="S31" s="1" t="s">
        <v>384</v>
      </c>
      <c r="T31" s="1" t="s">
        <v>385</v>
      </c>
      <c r="U31" s="1" t="s">
        <v>386</v>
      </c>
      <c r="V31" s="1" t="s">
        <v>383</v>
      </c>
      <c r="W31" s="1" t="s">
        <v>387</v>
      </c>
      <c r="X31" s="1" t="s">
        <v>388</v>
      </c>
    </row>
    <row r="32" spans="1:24" ht="18.75" x14ac:dyDescent="0.25">
      <c r="A32" s="1" t="s">
        <v>37</v>
      </c>
      <c r="B32" s="1" t="s">
        <v>38</v>
      </c>
      <c r="C32" s="1" t="s">
        <v>389</v>
      </c>
      <c r="D32" s="1" t="s">
        <v>390</v>
      </c>
      <c r="E32" s="1" t="s">
        <v>391</v>
      </c>
      <c r="F32" s="1" t="s">
        <v>392</v>
      </c>
      <c r="G32" s="1" t="s">
        <v>393</v>
      </c>
      <c r="H32" s="1">
        <f t="shared" si="0"/>
        <v>314.10000000000002</v>
      </c>
      <c r="I32" s="1" t="s">
        <v>394</v>
      </c>
      <c r="J32" s="1" t="s">
        <v>47</v>
      </c>
      <c r="K32" s="1" t="s">
        <v>47</v>
      </c>
      <c r="L32" s="1" t="s">
        <v>47</v>
      </c>
      <c r="M32" s="1" t="s">
        <v>395</v>
      </c>
      <c r="N32" s="1" t="s">
        <v>394</v>
      </c>
      <c r="O32" s="1" t="s">
        <v>47</v>
      </c>
      <c r="P32" s="1" t="s">
        <v>47</v>
      </c>
      <c r="Q32" s="1" t="s">
        <v>47</v>
      </c>
      <c r="R32" s="1" t="s">
        <v>395</v>
      </c>
      <c r="S32" s="1" t="s">
        <v>396</v>
      </c>
      <c r="T32" s="1" t="s">
        <v>397</v>
      </c>
      <c r="U32" s="1" t="s">
        <v>398</v>
      </c>
      <c r="V32" s="1" t="s">
        <v>395</v>
      </c>
      <c r="W32" s="1" t="s">
        <v>399</v>
      </c>
      <c r="X32" s="1" t="s">
        <v>400</v>
      </c>
    </row>
    <row r="33" spans="1:24" ht="18.75" x14ac:dyDescent="0.25">
      <c r="A33" s="1" t="s">
        <v>37</v>
      </c>
      <c r="B33" s="1" t="s">
        <v>38</v>
      </c>
      <c r="C33" s="1" t="s">
        <v>401</v>
      </c>
      <c r="D33" s="1" t="s">
        <v>402</v>
      </c>
      <c r="E33" s="1" t="s">
        <v>403</v>
      </c>
      <c r="F33" s="1" t="s">
        <v>347</v>
      </c>
      <c r="G33" s="1" t="s">
        <v>404</v>
      </c>
      <c r="H33" s="1">
        <f t="shared" si="0"/>
        <v>175.6</v>
      </c>
      <c r="I33" s="1" t="s">
        <v>347</v>
      </c>
      <c r="J33" s="1" t="s">
        <v>47</v>
      </c>
      <c r="K33" s="1" t="s">
        <v>47</v>
      </c>
      <c r="L33" s="1" t="s">
        <v>47</v>
      </c>
      <c r="M33" s="1" t="s">
        <v>405</v>
      </c>
      <c r="N33" s="1" t="s">
        <v>347</v>
      </c>
      <c r="O33" s="1" t="s">
        <v>47</v>
      </c>
      <c r="P33" s="1" t="s">
        <v>47</v>
      </c>
      <c r="Q33" s="1" t="s">
        <v>47</v>
      </c>
      <c r="R33" s="1" t="s">
        <v>405</v>
      </c>
      <c r="S33" s="1" t="s">
        <v>406</v>
      </c>
      <c r="T33" s="1" t="s">
        <v>407</v>
      </c>
      <c r="U33" s="1" t="s">
        <v>408</v>
      </c>
      <c r="V33" s="1" t="s">
        <v>405</v>
      </c>
      <c r="W33" s="1" t="s">
        <v>409</v>
      </c>
      <c r="X33" s="1" t="s">
        <v>410</v>
      </c>
    </row>
    <row r="34" spans="1:24" ht="18.75" x14ac:dyDescent="0.25">
      <c r="A34" s="1" t="s">
        <v>37</v>
      </c>
      <c r="B34" s="1" t="s">
        <v>38</v>
      </c>
      <c r="C34" s="1" t="s">
        <v>411</v>
      </c>
      <c r="D34" s="1" t="s">
        <v>412</v>
      </c>
      <c r="E34" s="1" t="s">
        <v>413</v>
      </c>
      <c r="F34" s="1" t="s">
        <v>414</v>
      </c>
      <c r="G34" s="1" t="s">
        <v>415</v>
      </c>
      <c r="H34" s="1">
        <f t="shared" si="0"/>
        <v>169.5</v>
      </c>
      <c r="I34" s="1" t="s">
        <v>416</v>
      </c>
      <c r="J34" s="1" t="s">
        <v>417</v>
      </c>
      <c r="K34" s="1" t="s">
        <v>47</v>
      </c>
      <c r="L34" s="1" t="s">
        <v>47</v>
      </c>
      <c r="M34" s="1" t="s">
        <v>418</v>
      </c>
      <c r="N34" s="1" t="s">
        <v>416</v>
      </c>
      <c r="O34" s="1" t="s">
        <v>417</v>
      </c>
      <c r="P34" s="1" t="s">
        <v>47</v>
      </c>
      <c r="Q34" s="1" t="s">
        <v>47</v>
      </c>
      <c r="R34" s="1" t="s">
        <v>418</v>
      </c>
      <c r="S34" s="1" t="s">
        <v>419</v>
      </c>
      <c r="T34" s="1" t="s">
        <v>420</v>
      </c>
      <c r="U34" s="1" t="s">
        <v>421</v>
      </c>
      <c r="V34" s="1" t="s">
        <v>418</v>
      </c>
      <c r="W34" s="1" t="s">
        <v>422</v>
      </c>
      <c r="X34" s="1" t="s">
        <v>423</v>
      </c>
    </row>
    <row r="35" spans="1:24" ht="18.75" x14ac:dyDescent="0.25">
      <c r="A35" s="1" t="s">
        <v>37</v>
      </c>
      <c r="B35" s="1" t="s">
        <v>38</v>
      </c>
      <c r="C35" s="1" t="s">
        <v>424</v>
      </c>
      <c r="D35" s="1" t="s">
        <v>425</v>
      </c>
      <c r="E35" s="1" t="s">
        <v>426</v>
      </c>
      <c r="F35" s="1" t="s">
        <v>427</v>
      </c>
      <c r="G35" s="1" t="s">
        <v>177</v>
      </c>
      <c r="H35" s="1">
        <f t="shared" si="0"/>
        <v>209.7</v>
      </c>
      <c r="I35" s="1" t="s">
        <v>428</v>
      </c>
      <c r="J35" s="1" t="s">
        <v>47</v>
      </c>
      <c r="K35" s="1" t="s">
        <v>47</v>
      </c>
      <c r="L35" s="1" t="s">
        <v>47</v>
      </c>
      <c r="M35" s="1" t="s">
        <v>429</v>
      </c>
      <c r="N35" s="1" t="s">
        <v>428</v>
      </c>
      <c r="O35" s="1" t="s">
        <v>47</v>
      </c>
      <c r="P35" s="1" t="s">
        <v>47</v>
      </c>
      <c r="Q35" s="1" t="s">
        <v>47</v>
      </c>
      <c r="R35" s="1" t="s">
        <v>429</v>
      </c>
      <c r="S35" s="1" t="s">
        <v>430</v>
      </c>
      <c r="T35" s="1" t="s">
        <v>431</v>
      </c>
      <c r="U35" s="1" t="s">
        <v>432</v>
      </c>
      <c r="V35" s="1" t="s">
        <v>429</v>
      </c>
      <c r="W35" s="1" t="s">
        <v>409</v>
      </c>
      <c r="X35" s="1" t="s">
        <v>53</v>
      </c>
    </row>
    <row r="36" spans="1:24" ht="18.75" x14ac:dyDescent="0.25">
      <c r="A36" s="1" t="s">
        <v>37</v>
      </c>
      <c r="B36" s="1" t="s">
        <v>38</v>
      </c>
      <c r="C36" s="1" t="s">
        <v>433</v>
      </c>
      <c r="D36" s="1" t="s">
        <v>434</v>
      </c>
      <c r="E36" s="1" t="s">
        <v>66</v>
      </c>
      <c r="F36" s="1" t="s">
        <v>435</v>
      </c>
      <c r="G36" s="1" t="s">
        <v>261</v>
      </c>
      <c r="H36" s="1">
        <f t="shared" si="0"/>
        <v>191</v>
      </c>
      <c r="I36" s="1" t="s">
        <v>436</v>
      </c>
      <c r="J36" s="1" t="s">
        <v>47</v>
      </c>
      <c r="K36" s="1" t="s">
        <v>58</v>
      </c>
      <c r="L36" s="1" t="s">
        <v>437</v>
      </c>
      <c r="M36" s="1" t="s">
        <v>438</v>
      </c>
      <c r="N36" s="1" t="s">
        <v>436</v>
      </c>
      <c r="O36" s="1" t="s">
        <v>47</v>
      </c>
      <c r="P36" s="1" t="s">
        <v>58</v>
      </c>
      <c r="Q36" s="1" t="s">
        <v>437</v>
      </c>
      <c r="R36" s="1" t="s">
        <v>438</v>
      </c>
      <c r="S36" s="1" t="s">
        <v>439</v>
      </c>
      <c r="T36" s="1" t="s">
        <v>440</v>
      </c>
      <c r="U36" s="1" t="s">
        <v>441</v>
      </c>
      <c r="V36" s="1" t="s">
        <v>438</v>
      </c>
      <c r="W36" s="1" t="s">
        <v>442</v>
      </c>
      <c r="X36" s="1" t="s">
        <v>443</v>
      </c>
    </row>
    <row r="37" spans="1:24" ht="18.75" x14ac:dyDescent="0.25">
      <c r="A37" s="1" t="s">
        <v>37</v>
      </c>
      <c r="B37" s="1" t="s">
        <v>38</v>
      </c>
      <c r="C37" s="1" t="s">
        <v>444</v>
      </c>
      <c r="D37" s="1" t="s">
        <v>445</v>
      </c>
      <c r="E37" s="1" t="s">
        <v>446</v>
      </c>
      <c r="F37" s="1" t="s">
        <v>447</v>
      </c>
      <c r="G37" s="1" t="s">
        <v>448</v>
      </c>
      <c r="H37" s="1">
        <f t="shared" si="0"/>
        <v>248.7</v>
      </c>
      <c r="I37" s="1" t="s">
        <v>449</v>
      </c>
      <c r="J37" s="1" t="s">
        <v>450</v>
      </c>
      <c r="K37" s="1" t="s">
        <v>139</v>
      </c>
      <c r="L37" s="1" t="s">
        <v>47</v>
      </c>
      <c r="M37" s="1" t="s">
        <v>451</v>
      </c>
      <c r="N37" s="1" t="s">
        <v>449</v>
      </c>
      <c r="O37" s="1" t="s">
        <v>450</v>
      </c>
      <c r="P37" s="1" t="s">
        <v>139</v>
      </c>
      <c r="Q37" s="1" t="s">
        <v>47</v>
      </c>
      <c r="R37" s="1" t="s">
        <v>451</v>
      </c>
      <c r="S37" s="1" t="s">
        <v>452</v>
      </c>
      <c r="T37" s="1" t="s">
        <v>453</v>
      </c>
      <c r="U37" s="1" t="s">
        <v>454</v>
      </c>
      <c r="V37" s="1" t="s">
        <v>451</v>
      </c>
      <c r="W37" s="1" t="s">
        <v>84</v>
      </c>
      <c r="X37" s="1" t="s">
        <v>455</v>
      </c>
    </row>
    <row r="38" spans="1:24" ht="18.75" x14ac:dyDescent="0.25">
      <c r="A38" s="1" t="s">
        <v>37</v>
      </c>
      <c r="B38" s="1" t="s">
        <v>38</v>
      </c>
      <c r="C38" s="1" t="s">
        <v>456</v>
      </c>
      <c r="D38" s="1" t="s">
        <v>457</v>
      </c>
      <c r="E38" s="1" t="s">
        <v>214</v>
      </c>
      <c r="F38" s="1" t="s">
        <v>427</v>
      </c>
      <c r="G38" s="1" t="s">
        <v>458</v>
      </c>
      <c r="H38" s="1">
        <f t="shared" si="0"/>
        <v>264.5</v>
      </c>
      <c r="I38" s="1" t="s">
        <v>459</v>
      </c>
      <c r="J38" s="1" t="s">
        <v>47</v>
      </c>
      <c r="K38" s="1" t="s">
        <v>47</v>
      </c>
      <c r="L38" s="1" t="s">
        <v>47</v>
      </c>
      <c r="M38" s="1" t="s">
        <v>460</v>
      </c>
      <c r="N38" s="1" t="s">
        <v>459</v>
      </c>
      <c r="O38" s="1" t="s">
        <v>47</v>
      </c>
      <c r="P38" s="1" t="s">
        <v>47</v>
      </c>
      <c r="Q38" s="1" t="s">
        <v>47</v>
      </c>
      <c r="R38" s="1" t="s">
        <v>460</v>
      </c>
      <c r="S38" s="1" t="s">
        <v>461</v>
      </c>
      <c r="T38" s="1" t="s">
        <v>462</v>
      </c>
      <c r="U38" s="1" t="s">
        <v>463</v>
      </c>
      <c r="V38" s="1" t="s">
        <v>460</v>
      </c>
      <c r="W38" s="1" t="s">
        <v>464</v>
      </c>
      <c r="X38" s="1" t="s">
        <v>465</v>
      </c>
    </row>
    <row r="39" spans="1:24" ht="18.75" x14ac:dyDescent="0.25">
      <c r="A39" s="1" t="s">
        <v>37</v>
      </c>
      <c r="B39" s="1" t="s">
        <v>38</v>
      </c>
      <c r="C39" s="1" t="s">
        <v>466</v>
      </c>
      <c r="D39" s="1" t="s">
        <v>467</v>
      </c>
      <c r="E39" s="1" t="s">
        <v>468</v>
      </c>
      <c r="F39" s="1" t="s">
        <v>66</v>
      </c>
      <c r="G39" s="1" t="s">
        <v>469</v>
      </c>
      <c r="H39" s="1">
        <f t="shared" si="0"/>
        <v>178.6</v>
      </c>
      <c r="I39" s="1" t="s">
        <v>470</v>
      </c>
      <c r="J39" s="1" t="s">
        <v>47</v>
      </c>
      <c r="K39" s="1" t="s">
        <v>47</v>
      </c>
      <c r="L39" s="1" t="s">
        <v>471</v>
      </c>
      <c r="M39" s="1" t="s">
        <v>472</v>
      </c>
      <c r="N39" s="1" t="s">
        <v>470</v>
      </c>
      <c r="O39" s="1" t="s">
        <v>47</v>
      </c>
      <c r="P39" s="1" t="s">
        <v>47</v>
      </c>
      <c r="Q39" s="1" t="s">
        <v>471</v>
      </c>
      <c r="R39" s="1" t="s">
        <v>472</v>
      </c>
      <c r="S39" s="1" t="s">
        <v>473</v>
      </c>
      <c r="T39" s="1" t="s">
        <v>474</v>
      </c>
      <c r="U39" s="1" t="s">
        <v>475</v>
      </c>
      <c r="V39" s="1" t="s">
        <v>472</v>
      </c>
      <c r="W39" s="1" t="s">
        <v>476</v>
      </c>
      <c r="X39" s="1" t="s">
        <v>477</v>
      </c>
    </row>
    <row r="40" spans="1:24" ht="18.75" x14ac:dyDescent="0.25">
      <c r="A40" s="1" t="s">
        <v>37</v>
      </c>
      <c r="B40" s="1" t="s">
        <v>38</v>
      </c>
      <c r="C40" s="1" t="s">
        <v>478</v>
      </c>
      <c r="D40" s="1" t="s">
        <v>479</v>
      </c>
      <c r="E40" s="1" t="s">
        <v>480</v>
      </c>
      <c r="F40" s="1" t="s">
        <v>481</v>
      </c>
      <c r="G40" s="1" t="s">
        <v>482</v>
      </c>
      <c r="H40" s="1">
        <f t="shared" si="0"/>
        <v>213</v>
      </c>
      <c r="I40" s="1" t="s">
        <v>483</v>
      </c>
      <c r="J40" s="1" t="s">
        <v>47</v>
      </c>
      <c r="K40" s="1" t="s">
        <v>47</v>
      </c>
      <c r="L40" s="1" t="s">
        <v>47</v>
      </c>
      <c r="M40" s="1" t="s">
        <v>484</v>
      </c>
      <c r="N40" s="1" t="s">
        <v>483</v>
      </c>
      <c r="O40" s="1" t="s">
        <v>47</v>
      </c>
      <c r="P40" s="1" t="s">
        <v>47</v>
      </c>
      <c r="Q40" s="1" t="s">
        <v>47</v>
      </c>
      <c r="R40" s="1" t="s">
        <v>484</v>
      </c>
      <c r="S40" s="1" t="s">
        <v>485</v>
      </c>
      <c r="T40" s="1" t="s">
        <v>486</v>
      </c>
      <c r="U40" s="1" t="s">
        <v>487</v>
      </c>
      <c r="V40" s="1" t="s">
        <v>484</v>
      </c>
      <c r="W40" s="1" t="s">
        <v>488</v>
      </c>
      <c r="X40" s="1" t="s">
        <v>489</v>
      </c>
    </row>
    <row r="41" spans="1:24" ht="18.75" x14ac:dyDescent="0.25">
      <c r="A41" s="1" t="s">
        <v>37</v>
      </c>
      <c r="B41" s="1" t="s">
        <v>38</v>
      </c>
      <c r="C41" s="1" t="s">
        <v>490</v>
      </c>
      <c r="D41" s="1" t="s">
        <v>491</v>
      </c>
      <c r="E41" s="1" t="s">
        <v>413</v>
      </c>
      <c r="F41" s="1" t="s">
        <v>492</v>
      </c>
      <c r="G41" s="1" t="s">
        <v>371</v>
      </c>
      <c r="H41" s="1">
        <f t="shared" si="0"/>
        <v>155.5</v>
      </c>
      <c r="I41" s="1" t="s">
        <v>493</v>
      </c>
      <c r="J41" s="1" t="s">
        <v>494</v>
      </c>
      <c r="K41" s="1" t="s">
        <v>47</v>
      </c>
      <c r="L41" s="1" t="s">
        <v>47</v>
      </c>
      <c r="M41" s="1" t="s">
        <v>495</v>
      </c>
      <c r="N41" s="1" t="s">
        <v>493</v>
      </c>
      <c r="O41" s="1" t="s">
        <v>494</v>
      </c>
      <c r="P41" s="1" t="s">
        <v>47</v>
      </c>
      <c r="Q41" s="1" t="s">
        <v>47</v>
      </c>
      <c r="R41" s="1" t="s">
        <v>495</v>
      </c>
      <c r="S41" s="1" t="s">
        <v>496</v>
      </c>
      <c r="T41" s="1" t="s">
        <v>497</v>
      </c>
      <c r="U41" s="1" t="s">
        <v>498</v>
      </c>
      <c r="V41" s="1" t="s">
        <v>495</v>
      </c>
      <c r="W41" s="1" t="s">
        <v>499</v>
      </c>
      <c r="X41" s="1" t="s">
        <v>500</v>
      </c>
    </row>
    <row r="42" spans="1:24" ht="18.75" x14ac:dyDescent="0.25">
      <c r="A42" s="1" t="s">
        <v>37</v>
      </c>
      <c r="B42" s="1" t="s">
        <v>38</v>
      </c>
      <c r="C42" s="1" t="s">
        <v>501</v>
      </c>
      <c r="D42" s="1" t="s">
        <v>502</v>
      </c>
      <c r="E42" s="1" t="s">
        <v>222</v>
      </c>
      <c r="F42" s="1" t="s">
        <v>503</v>
      </c>
      <c r="G42" s="1" t="s">
        <v>504</v>
      </c>
      <c r="H42" s="1">
        <f t="shared" si="0"/>
        <v>99.7</v>
      </c>
      <c r="I42" s="1" t="s">
        <v>505</v>
      </c>
      <c r="J42" s="1" t="s">
        <v>47</v>
      </c>
      <c r="K42" s="1" t="s">
        <v>47</v>
      </c>
      <c r="L42" s="1" t="s">
        <v>291</v>
      </c>
      <c r="M42" s="1" t="s">
        <v>506</v>
      </c>
      <c r="N42" s="1" t="s">
        <v>505</v>
      </c>
      <c r="O42" s="1" t="s">
        <v>47</v>
      </c>
      <c r="P42" s="1" t="s">
        <v>47</v>
      </c>
      <c r="Q42" s="1" t="s">
        <v>291</v>
      </c>
      <c r="R42" s="1" t="s">
        <v>506</v>
      </c>
      <c r="S42" s="1" t="s">
        <v>507</v>
      </c>
      <c r="T42" s="1" t="s">
        <v>508</v>
      </c>
      <c r="U42" s="1" t="s">
        <v>509</v>
      </c>
      <c r="V42" s="1" t="s">
        <v>506</v>
      </c>
      <c r="W42" s="1" t="s">
        <v>97</v>
      </c>
      <c r="X42" s="1" t="s">
        <v>510</v>
      </c>
    </row>
    <row r="43" spans="1:24" ht="18.75" x14ac:dyDescent="0.25">
      <c r="A43" s="1" t="s">
        <v>37</v>
      </c>
      <c r="B43" s="1" t="s">
        <v>38</v>
      </c>
      <c r="C43" s="1" t="s">
        <v>511</v>
      </c>
      <c r="D43" s="1" t="s">
        <v>512</v>
      </c>
      <c r="E43" s="1" t="s">
        <v>422</v>
      </c>
      <c r="F43" s="1" t="s">
        <v>234</v>
      </c>
      <c r="G43" s="1" t="s">
        <v>513</v>
      </c>
      <c r="H43" s="1">
        <f t="shared" si="0"/>
        <v>192.5</v>
      </c>
      <c r="I43" s="1" t="s">
        <v>514</v>
      </c>
      <c r="J43" s="1" t="s">
        <v>251</v>
      </c>
      <c r="K43" s="1" t="s">
        <v>47</v>
      </c>
      <c r="L43" s="1" t="s">
        <v>371</v>
      </c>
      <c r="M43" s="1" t="s">
        <v>515</v>
      </c>
      <c r="N43" s="1" t="s">
        <v>514</v>
      </c>
      <c r="O43" s="1" t="s">
        <v>251</v>
      </c>
      <c r="P43" s="1" t="s">
        <v>47</v>
      </c>
      <c r="Q43" s="1" t="s">
        <v>371</v>
      </c>
      <c r="R43" s="1" t="s">
        <v>515</v>
      </c>
      <c r="S43" s="1" t="s">
        <v>516</v>
      </c>
      <c r="T43" s="1" t="s">
        <v>517</v>
      </c>
      <c r="U43" s="1" t="s">
        <v>518</v>
      </c>
      <c r="V43" s="1" t="s">
        <v>515</v>
      </c>
      <c r="W43" s="1" t="s">
        <v>519</v>
      </c>
      <c r="X43" s="1" t="s">
        <v>520</v>
      </c>
    </row>
    <row r="44" spans="1:24" ht="18.75" x14ac:dyDescent="0.25">
      <c r="A44" s="1" t="s">
        <v>37</v>
      </c>
      <c r="B44" s="1" t="s">
        <v>38</v>
      </c>
      <c r="C44" s="1" t="s">
        <v>521</v>
      </c>
      <c r="D44" s="1" t="s">
        <v>522</v>
      </c>
      <c r="E44" s="1" t="s">
        <v>523</v>
      </c>
      <c r="F44" s="1" t="s">
        <v>524</v>
      </c>
      <c r="G44" s="1" t="s">
        <v>46</v>
      </c>
      <c r="H44" s="1">
        <f t="shared" si="0"/>
        <v>343.7</v>
      </c>
      <c r="I44" s="1" t="s">
        <v>524</v>
      </c>
      <c r="J44" s="1" t="s">
        <v>525</v>
      </c>
      <c r="K44" s="1" t="s">
        <v>47</v>
      </c>
      <c r="L44" s="1" t="s">
        <v>47</v>
      </c>
      <c r="M44" s="1" t="s">
        <v>526</v>
      </c>
      <c r="N44" s="1" t="s">
        <v>524</v>
      </c>
      <c r="O44" s="1" t="s">
        <v>525</v>
      </c>
      <c r="P44" s="1" t="s">
        <v>47</v>
      </c>
      <c r="Q44" s="1" t="s">
        <v>47</v>
      </c>
      <c r="R44" s="1" t="s">
        <v>526</v>
      </c>
      <c r="S44" s="1" t="s">
        <v>527</v>
      </c>
      <c r="T44" s="1" t="s">
        <v>528</v>
      </c>
      <c r="U44" s="1" t="s">
        <v>529</v>
      </c>
      <c r="V44" s="1" t="s">
        <v>526</v>
      </c>
      <c r="W44" s="1" t="s">
        <v>530</v>
      </c>
      <c r="X44" s="1" t="s">
        <v>531</v>
      </c>
    </row>
    <row r="45" spans="1:24" ht="18.75" x14ac:dyDescent="0.25">
      <c r="A45" s="1" t="s">
        <v>37</v>
      </c>
      <c r="B45" s="1" t="s">
        <v>38</v>
      </c>
      <c r="C45" s="1" t="s">
        <v>532</v>
      </c>
      <c r="D45" s="1" t="s">
        <v>533</v>
      </c>
      <c r="E45" s="1" t="s">
        <v>534</v>
      </c>
      <c r="F45" s="1" t="s">
        <v>535</v>
      </c>
      <c r="G45" s="1" t="s">
        <v>458</v>
      </c>
      <c r="H45" s="1">
        <f t="shared" si="0"/>
        <v>186.10000000000002</v>
      </c>
      <c r="I45" s="1" t="s">
        <v>535</v>
      </c>
      <c r="J45" s="1" t="s">
        <v>47</v>
      </c>
      <c r="K45" s="1" t="s">
        <v>47</v>
      </c>
      <c r="L45" s="1" t="s">
        <v>47</v>
      </c>
      <c r="M45" s="1" t="s">
        <v>536</v>
      </c>
      <c r="N45" s="1" t="s">
        <v>535</v>
      </c>
      <c r="O45" s="1" t="s">
        <v>47</v>
      </c>
      <c r="P45" s="1" t="s">
        <v>47</v>
      </c>
      <c r="Q45" s="1" t="s">
        <v>47</v>
      </c>
      <c r="R45" s="1" t="s">
        <v>536</v>
      </c>
      <c r="S45" s="1" t="s">
        <v>537</v>
      </c>
      <c r="T45" s="1" t="s">
        <v>538</v>
      </c>
      <c r="U45" s="1" t="s">
        <v>539</v>
      </c>
      <c r="V45" s="1" t="s">
        <v>536</v>
      </c>
      <c r="W45" s="1" t="s">
        <v>540</v>
      </c>
      <c r="X45" s="1" t="s">
        <v>541</v>
      </c>
    </row>
    <row r="46" spans="1:24" ht="18.75" x14ac:dyDescent="0.25">
      <c r="A46" s="1" t="s">
        <v>37</v>
      </c>
      <c r="B46" s="1" t="s">
        <v>38</v>
      </c>
      <c r="C46" s="1" t="s">
        <v>542</v>
      </c>
      <c r="D46" s="1" t="s">
        <v>543</v>
      </c>
      <c r="E46" s="1" t="s">
        <v>214</v>
      </c>
      <c r="F46" s="1" t="s">
        <v>544</v>
      </c>
      <c r="G46" s="1" t="s">
        <v>46</v>
      </c>
      <c r="H46" s="1">
        <f t="shared" si="0"/>
        <v>238.8</v>
      </c>
      <c r="I46" s="1" t="s">
        <v>545</v>
      </c>
      <c r="J46" s="1" t="s">
        <v>546</v>
      </c>
      <c r="K46" s="1" t="s">
        <v>547</v>
      </c>
      <c r="L46" s="1" t="s">
        <v>47</v>
      </c>
      <c r="M46" s="1" t="s">
        <v>548</v>
      </c>
      <c r="N46" s="1" t="s">
        <v>545</v>
      </c>
      <c r="O46" s="1" t="s">
        <v>546</v>
      </c>
      <c r="P46" s="1" t="s">
        <v>547</v>
      </c>
      <c r="Q46" s="1" t="s">
        <v>47</v>
      </c>
      <c r="R46" s="1" t="s">
        <v>548</v>
      </c>
      <c r="S46" s="1" t="s">
        <v>549</v>
      </c>
      <c r="T46" s="1" t="s">
        <v>550</v>
      </c>
      <c r="U46" s="1" t="s">
        <v>551</v>
      </c>
      <c r="V46" s="1" t="s">
        <v>548</v>
      </c>
      <c r="W46" s="1" t="s">
        <v>169</v>
      </c>
      <c r="X46" s="1" t="s">
        <v>552</v>
      </c>
    </row>
    <row r="47" spans="1:24" ht="18.75" x14ac:dyDescent="0.25">
      <c r="A47" s="1" t="s">
        <v>37</v>
      </c>
      <c r="B47" s="1" t="s">
        <v>38</v>
      </c>
      <c r="C47" s="1" t="s">
        <v>553</v>
      </c>
      <c r="D47" s="1" t="s">
        <v>554</v>
      </c>
      <c r="E47" s="1" t="s">
        <v>337</v>
      </c>
      <c r="F47" s="1" t="s">
        <v>555</v>
      </c>
      <c r="G47" s="1" t="s">
        <v>556</v>
      </c>
      <c r="H47" s="1">
        <f t="shared" si="0"/>
        <v>127.10000000000001</v>
      </c>
      <c r="I47" s="1" t="s">
        <v>47</v>
      </c>
      <c r="J47" s="1" t="s">
        <v>47</v>
      </c>
      <c r="K47" s="1" t="s">
        <v>557</v>
      </c>
      <c r="L47" s="1" t="s">
        <v>558</v>
      </c>
      <c r="M47" s="1" t="s">
        <v>559</v>
      </c>
      <c r="N47" s="1" t="s">
        <v>47</v>
      </c>
      <c r="O47" s="1" t="s">
        <v>47</v>
      </c>
      <c r="P47" s="1" t="s">
        <v>557</v>
      </c>
      <c r="Q47" s="1" t="s">
        <v>558</v>
      </c>
      <c r="R47" s="1" t="s">
        <v>559</v>
      </c>
      <c r="S47" s="1" t="s">
        <v>560</v>
      </c>
      <c r="T47" s="1" t="s">
        <v>561</v>
      </c>
      <c r="U47" s="1" t="s">
        <v>562</v>
      </c>
      <c r="V47" s="1" t="s">
        <v>559</v>
      </c>
      <c r="W47" s="1" t="s">
        <v>563</v>
      </c>
      <c r="X47" s="1" t="s">
        <v>564</v>
      </c>
    </row>
    <row r="48" spans="1:24" ht="18.75" x14ac:dyDescent="0.25">
      <c r="A48" s="1" t="s">
        <v>37</v>
      </c>
      <c r="B48" s="1" t="s">
        <v>38</v>
      </c>
      <c r="C48" s="1" t="s">
        <v>565</v>
      </c>
      <c r="D48" s="1" t="s">
        <v>566</v>
      </c>
      <c r="E48" s="1" t="s">
        <v>134</v>
      </c>
      <c r="F48" s="1" t="s">
        <v>567</v>
      </c>
      <c r="G48" s="1" t="s">
        <v>568</v>
      </c>
      <c r="H48" s="1">
        <f t="shared" si="0"/>
        <v>199.5</v>
      </c>
      <c r="I48" s="1" t="s">
        <v>442</v>
      </c>
      <c r="J48" s="1" t="s">
        <v>47</v>
      </c>
      <c r="K48" s="1" t="s">
        <v>124</v>
      </c>
      <c r="L48" s="1" t="s">
        <v>213</v>
      </c>
      <c r="M48" s="1" t="s">
        <v>569</v>
      </c>
      <c r="N48" s="1" t="s">
        <v>442</v>
      </c>
      <c r="O48" s="1" t="s">
        <v>47</v>
      </c>
      <c r="P48" s="1" t="s">
        <v>124</v>
      </c>
      <c r="Q48" s="1" t="s">
        <v>213</v>
      </c>
      <c r="R48" s="1" t="s">
        <v>569</v>
      </c>
      <c r="S48" s="1" t="s">
        <v>570</v>
      </c>
      <c r="T48" s="1" t="s">
        <v>571</v>
      </c>
      <c r="U48" s="1" t="s">
        <v>572</v>
      </c>
      <c r="V48" s="1" t="s">
        <v>569</v>
      </c>
      <c r="W48" s="1" t="s">
        <v>573</v>
      </c>
      <c r="X48" s="1" t="s">
        <v>574</v>
      </c>
    </row>
    <row r="49" spans="1:24" ht="18.75" x14ac:dyDescent="0.25">
      <c r="A49" s="1" t="s">
        <v>37</v>
      </c>
      <c r="B49" s="1" t="s">
        <v>38</v>
      </c>
      <c r="C49" s="1" t="s">
        <v>575</v>
      </c>
      <c r="D49" s="1" t="s">
        <v>576</v>
      </c>
      <c r="E49" s="1" t="s">
        <v>577</v>
      </c>
      <c r="F49" s="1" t="s">
        <v>103</v>
      </c>
      <c r="G49" s="1" t="s">
        <v>578</v>
      </c>
      <c r="H49" s="1">
        <f t="shared" si="0"/>
        <v>157.4</v>
      </c>
      <c r="I49" s="1" t="s">
        <v>256</v>
      </c>
      <c r="J49" s="1" t="s">
        <v>278</v>
      </c>
      <c r="K49" s="1" t="s">
        <v>47</v>
      </c>
      <c r="L49" s="1" t="s">
        <v>47</v>
      </c>
      <c r="M49" s="1" t="s">
        <v>579</v>
      </c>
      <c r="N49" s="1" t="s">
        <v>256</v>
      </c>
      <c r="O49" s="1" t="s">
        <v>278</v>
      </c>
      <c r="P49" s="1" t="s">
        <v>47</v>
      </c>
      <c r="Q49" s="1" t="s">
        <v>47</v>
      </c>
      <c r="R49" s="1" t="s">
        <v>579</v>
      </c>
      <c r="S49" s="1" t="s">
        <v>580</v>
      </c>
      <c r="T49" s="1" t="s">
        <v>581</v>
      </c>
      <c r="U49" s="1" t="s">
        <v>582</v>
      </c>
      <c r="V49" s="1" t="s">
        <v>579</v>
      </c>
      <c r="W49" s="1" t="s">
        <v>287</v>
      </c>
      <c r="X49" s="1" t="s">
        <v>583</v>
      </c>
    </row>
    <row r="50" spans="1:24" ht="18.75" x14ac:dyDescent="0.25">
      <c r="A50" s="1" t="s">
        <v>37</v>
      </c>
      <c r="B50" s="1" t="s">
        <v>38</v>
      </c>
      <c r="C50" s="1" t="s">
        <v>584</v>
      </c>
      <c r="D50" s="1" t="s">
        <v>585</v>
      </c>
      <c r="E50" s="1" t="s">
        <v>361</v>
      </c>
      <c r="F50" s="1" t="s">
        <v>107</v>
      </c>
      <c r="G50" s="1" t="s">
        <v>568</v>
      </c>
      <c r="H50" s="1">
        <f t="shared" si="0"/>
        <v>139.60000000000002</v>
      </c>
      <c r="I50" s="1" t="s">
        <v>107</v>
      </c>
      <c r="J50" s="1" t="s">
        <v>47</v>
      </c>
      <c r="K50" s="1" t="s">
        <v>47</v>
      </c>
      <c r="L50" s="1" t="s">
        <v>47</v>
      </c>
      <c r="M50" s="1" t="s">
        <v>586</v>
      </c>
      <c r="N50" s="1" t="s">
        <v>107</v>
      </c>
      <c r="O50" s="1" t="s">
        <v>47</v>
      </c>
      <c r="P50" s="1" t="s">
        <v>47</v>
      </c>
      <c r="Q50" s="1" t="s">
        <v>47</v>
      </c>
      <c r="R50" s="1" t="s">
        <v>586</v>
      </c>
      <c r="S50" s="1" t="s">
        <v>587</v>
      </c>
      <c r="T50" s="1" t="s">
        <v>588</v>
      </c>
      <c r="U50" s="1" t="s">
        <v>589</v>
      </c>
      <c r="V50" s="1" t="s">
        <v>586</v>
      </c>
      <c r="W50" s="1" t="s">
        <v>590</v>
      </c>
      <c r="X50" s="1" t="s">
        <v>591</v>
      </c>
    </row>
    <row r="51" spans="1:24" ht="18.75" x14ac:dyDescent="0.25">
      <c r="A51" s="1" t="s">
        <v>37</v>
      </c>
      <c r="B51" s="1" t="s">
        <v>38</v>
      </c>
      <c r="C51" s="1" t="s">
        <v>592</v>
      </c>
      <c r="D51" s="1" t="s">
        <v>593</v>
      </c>
      <c r="E51" s="1" t="s">
        <v>594</v>
      </c>
      <c r="F51" s="1" t="s">
        <v>595</v>
      </c>
      <c r="G51" s="1" t="s">
        <v>596</v>
      </c>
      <c r="H51" s="1">
        <f t="shared" si="0"/>
        <v>278.2</v>
      </c>
      <c r="I51" s="1" t="s">
        <v>597</v>
      </c>
      <c r="J51" s="1" t="s">
        <v>598</v>
      </c>
      <c r="K51" s="1" t="s">
        <v>599</v>
      </c>
      <c r="L51" s="1" t="s">
        <v>600</v>
      </c>
      <c r="M51" s="1" t="s">
        <v>601</v>
      </c>
      <c r="N51" s="1" t="s">
        <v>597</v>
      </c>
      <c r="O51" s="1" t="s">
        <v>598</v>
      </c>
      <c r="P51" s="1" t="s">
        <v>599</v>
      </c>
      <c r="Q51" s="1" t="s">
        <v>600</v>
      </c>
      <c r="R51" s="1" t="s">
        <v>601</v>
      </c>
      <c r="S51" s="1" t="s">
        <v>602</v>
      </c>
      <c r="T51" s="1" t="s">
        <v>603</v>
      </c>
      <c r="U51" s="1" t="s">
        <v>604</v>
      </c>
      <c r="V51" s="1" t="s">
        <v>601</v>
      </c>
      <c r="W51" s="1" t="s">
        <v>426</v>
      </c>
      <c r="X51" s="1" t="s">
        <v>605</v>
      </c>
    </row>
    <row r="52" spans="1:24" ht="18.75" x14ac:dyDescent="0.25">
      <c r="A52" s="1" t="s">
        <v>37</v>
      </c>
      <c r="B52" s="1" t="s">
        <v>38</v>
      </c>
      <c r="C52" s="1" t="s">
        <v>606</v>
      </c>
      <c r="D52" s="1" t="s">
        <v>607</v>
      </c>
      <c r="E52" s="1" t="s">
        <v>244</v>
      </c>
      <c r="F52" s="1" t="s">
        <v>608</v>
      </c>
      <c r="G52" s="1" t="s">
        <v>609</v>
      </c>
      <c r="H52" s="1">
        <f t="shared" si="0"/>
        <v>231.8</v>
      </c>
      <c r="I52" s="1" t="s">
        <v>464</v>
      </c>
      <c r="J52" s="1" t="s">
        <v>288</v>
      </c>
      <c r="K52" s="1" t="s">
        <v>47</v>
      </c>
      <c r="L52" s="1" t="s">
        <v>610</v>
      </c>
      <c r="M52" s="1" t="s">
        <v>611</v>
      </c>
      <c r="N52" s="1" t="s">
        <v>464</v>
      </c>
      <c r="O52" s="1" t="s">
        <v>288</v>
      </c>
      <c r="P52" s="1" t="s">
        <v>47</v>
      </c>
      <c r="Q52" s="1" t="s">
        <v>610</v>
      </c>
      <c r="R52" s="1" t="s">
        <v>611</v>
      </c>
      <c r="S52" s="1" t="s">
        <v>612</v>
      </c>
      <c r="T52" s="1" t="s">
        <v>613</v>
      </c>
      <c r="U52" s="1" t="s">
        <v>614</v>
      </c>
      <c r="V52" s="1" t="s">
        <v>611</v>
      </c>
      <c r="W52" s="1" t="s">
        <v>186</v>
      </c>
      <c r="X52" s="1" t="s">
        <v>615</v>
      </c>
    </row>
    <row r="53" spans="1:24" ht="18.75" x14ac:dyDescent="0.25">
      <c r="A53" s="1" t="s">
        <v>37</v>
      </c>
      <c r="B53" s="1" t="s">
        <v>38</v>
      </c>
      <c r="C53" s="1" t="s">
        <v>616</v>
      </c>
      <c r="D53" s="1" t="s">
        <v>617</v>
      </c>
      <c r="E53" s="1" t="s">
        <v>618</v>
      </c>
      <c r="F53" s="1" t="s">
        <v>619</v>
      </c>
      <c r="G53" s="1" t="s">
        <v>338</v>
      </c>
      <c r="H53" s="1">
        <f t="shared" si="0"/>
        <v>295.8</v>
      </c>
      <c r="I53" s="1" t="s">
        <v>620</v>
      </c>
      <c r="J53" s="1" t="s">
        <v>513</v>
      </c>
      <c r="K53" s="1" t="s">
        <v>47</v>
      </c>
      <c r="L53" s="1" t="s">
        <v>47</v>
      </c>
      <c r="M53" s="1" t="s">
        <v>621</v>
      </c>
      <c r="N53" s="1" t="s">
        <v>620</v>
      </c>
      <c r="O53" s="1" t="s">
        <v>513</v>
      </c>
      <c r="P53" s="1" t="s">
        <v>47</v>
      </c>
      <c r="Q53" s="1" t="s">
        <v>47</v>
      </c>
      <c r="R53" s="1" t="s">
        <v>621</v>
      </c>
      <c r="S53" s="1" t="s">
        <v>622</v>
      </c>
      <c r="T53" s="1" t="s">
        <v>623</v>
      </c>
      <c r="U53" s="1" t="s">
        <v>624</v>
      </c>
      <c r="V53" s="1" t="s">
        <v>621</v>
      </c>
      <c r="W53" s="1" t="s">
        <v>244</v>
      </c>
      <c r="X53" s="1" t="s">
        <v>625</v>
      </c>
    </row>
    <row r="54" spans="1:24" ht="18.75" x14ac:dyDescent="0.25">
      <c r="A54" s="1" t="s">
        <v>37</v>
      </c>
      <c r="B54" s="1" t="s">
        <v>38</v>
      </c>
      <c r="C54" s="1" t="s">
        <v>626</v>
      </c>
      <c r="D54" s="1" t="s">
        <v>627</v>
      </c>
      <c r="E54" s="1" t="s">
        <v>628</v>
      </c>
      <c r="F54" s="1" t="s">
        <v>629</v>
      </c>
      <c r="G54" s="1" t="s">
        <v>630</v>
      </c>
      <c r="H54" s="1">
        <f t="shared" si="0"/>
        <v>227.1</v>
      </c>
      <c r="I54" s="1" t="s">
        <v>631</v>
      </c>
      <c r="J54" s="1" t="s">
        <v>632</v>
      </c>
      <c r="K54" s="1" t="s">
        <v>47</v>
      </c>
      <c r="L54" s="1" t="s">
        <v>47</v>
      </c>
      <c r="M54" s="1" t="s">
        <v>633</v>
      </c>
      <c r="N54" s="1" t="s">
        <v>631</v>
      </c>
      <c r="O54" s="1" t="s">
        <v>632</v>
      </c>
      <c r="P54" s="1" t="s">
        <v>47</v>
      </c>
      <c r="Q54" s="1" t="s">
        <v>47</v>
      </c>
      <c r="R54" s="1" t="s">
        <v>633</v>
      </c>
      <c r="S54" s="1" t="s">
        <v>634</v>
      </c>
      <c r="T54" s="1" t="s">
        <v>635</v>
      </c>
      <c r="U54" s="1" t="s">
        <v>636</v>
      </c>
      <c r="V54" s="1" t="s">
        <v>633</v>
      </c>
      <c r="W54" s="1" t="s">
        <v>322</v>
      </c>
      <c r="X54" s="1" t="s">
        <v>637</v>
      </c>
    </row>
    <row r="55" spans="1:24" ht="18.75" x14ac:dyDescent="0.25">
      <c r="A55" s="1" t="s">
        <v>37</v>
      </c>
      <c r="B55" s="1" t="s">
        <v>38</v>
      </c>
      <c r="C55" s="1" t="s">
        <v>638</v>
      </c>
      <c r="D55" s="1" t="s">
        <v>639</v>
      </c>
      <c r="E55" s="1" t="s">
        <v>640</v>
      </c>
      <c r="F55" s="1" t="s">
        <v>641</v>
      </c>
      <c r="G55" s="1" t="s">
        <v>642</v>
      </c>
      <c r="H55" s="1">
        <f t="shared" si="0"/>
        <v>269</v>
      </c>
      <c r="I55" s="1" t="s">
        <v>361</v>
      </c>
      <c r="J55" s="1" t="s">
        <v>556</v>
      </c>
      <c r="K55" s="1" t="s">
        <v>276</v>
      </c>
      <c r="L55" s="1" t="s">
        <v>278</v>
      </c>
      <c r="M55" s="1" t="s">
        <v>643</v>
      </c>
      <c r="N55" s="1" t="s">
        <v>361</v>
      </c>
      <c r="O55" s="1" t="s">
        <v>556</v>
      </c>
      <c r="P55" s="1" t="s">
        <v>276</v>
      </c>
      <c r="Q55" s="1" t="s">
        <v>278</v>
      </c>
      <c r="R55" s="1" t="s">
        <v>643</v>
      </c>
      <c r="S55" s="1" t="s">
        <v>644</v>
      </c>
      <c r="T55" s="1" t="s">
        <v>645</v>
      </c>
      <c r="U55" s="1" t="s">
        <v>646</v>
      </c>
      <c r="V55" s="1" t="s">
        <v>643</v>
      </c>
      <c r="W55" s="1" t="s">
        <v>145</v>
      </c>
      <c r="X55" s="1" t="s">
        <v>647</v>
      </c>
    </row>
    <row r="56" spans="1:24" ht="18.75" x14ac:dyDescent="0.25">
      <c r="A56" s="1" t="s">
        <v>37</v>
      </c>
      <c r="B56" s="1" t="s">
        <v>38</v>
      </c>
      <c r="C56" s="1" t="s">
        <v>648</v>
      </c>
      <c r="D56" s="1" t="s">
        <v>649</v>
      </c>
      <c r="E56" s="1" t="s">
        <v>650</v>
      </c>
      <c r="F56" s="1" t="s">
        <v>651</v>
      </c>
      <c r="G56" s="1" t="s">
        <v>652</v>
      </c>
      <c r="H56" s="1">
        <f t="shared" si="0"/>
        <v>184.1</v>
      </c>
      <c r="I56" s="1" t="s">
        <v>435</v>
      </c>
      <c r="J56" s="1" t="s">
        <v>47</v>
      </c>
      <c r="K56" s="1" t="s">
        <v>47</v>
      </c>
      <c r="L56" s="1" t="s">
        <v>47</v>
      </c>
      <c r="M56" s="1" t="s">
        <v>653</v>
      </c>
      <c r="N56" s="1" t="s">
        <v>435</v>
      </c>
      <c r="O56" s="1" t="s">
        <v>47</v>
      </c>
      <c r="P56" s="1" t="s">
        <v>47</v>
      </c>
      <c r="Q56" s="1" t="s">
        <v>47</v>
      </c>
      <c r="R56" s="1" t="s">
        <v>653</v>
      </c>
      <c r="S56" s="1" t="s">
        <v>654</v>
      </c>
      <c r="T56" s="1" t="s">
        <v>655</v>
      </c>
      <c r="U56" s="1" t="s">
        <v>656</v>
      </c>
      <c r="V56" s="1" t="s">
        <v>653</v>
      </c>
      <c r="W56" s="1" t="s">
        <v>657</v>
      </c>
      <c r="X56" s="1" t="s">
        <v>658</v>
      </c>
    </row>
    <row r="57" spans="1:24" ht="18.75" x14ac:dyDescent="0.25">
      <c r="A57" s="1" t="s">
        <v>37</v>
      </c>
      <c r="B57" s="1" t="s">
        <v>38</v>
      </c>
      <c r="C57" s="1" t="s">
        <v>659</v>
      </c>
      <c r="D57" s="1" t="s">
        <v>660</v>
      </c>
      <c r="E57" s="1" t="s">
        <v>661</v>
      </c>
      <c r="F57" s="1" t="s">
        <v>662</v>
      </c>
      <c r="G57" s="1" t="s">
        <v>663</v>
      </c>
      <c r="H57" s="1">
        <f t="shared" si="0"/>
        <v>177.10000000000002</v>
      </c>
      <c r="I57" s="1" t="s">
        <v>664</v>
      </c>
      <c r="J57" s="1" t="s">
        <v>58</v>
      </c>
      <c r="K57" s="1" t="s">
        <v>599</v>
      </c>
      <c r="L57" s="1" t="s">
        <v>665</v>
      </c>
      <c r="M57" s="1" t="s">
        <v>666</v>
      </c>
      <c r="N57" s="1" t="s">
        <v>664</v>
      </c>
      <c r="O57" s="1" t="s">
        <v>58</v>
      </c>
      <c r="P57" s="1" t="s">
        <v>599</v>
      </c>
      <c r="Q57" s="1" t="s">
        <v>665</v>
      </c>
      <c r="R57" s="1" t="s">
        <v>666</v>
      </c>
      <c r="S57" s="1" t="s">
        <v>667</v>
      </c>
      <c r="T57" s="1" t="s">
        <v>668</v>
      </c>
      <c r="U57" s="1" t="s">
        <v>669</v>
      </c>
      <c r="V57" s="1" t="s">
        <v>666</v>
      </c>
      <c r="W57" s="1" t="s">
        <v>413</v>
      </c>
      <c r="X57" s="1" t="s">
        <v>670</v>
      </c>
    </row>
    <row r="58" spans="1:24" ht="18.75" x14ac:dyDescent="0.25">
      <c r="A58" s="1" t="s">
        <v>37</v>
      </c>
      <c r="B58" s="1" t="s">
        <v>38</v>
      </c>
      <c r="C58" s="1" t="s">
        <v>671</v>
      </c>
      <c r="D58" s="1" t="s">
        <v>672</v>
      </c>
      <c r="E58" s="1" t="s">
        <v>83</v>
      </c>
      <c r="F58" s="1" t="s">
        <v>519</v>
      </c>
      <c r="G58" s="1" t="s">
        <v>74</v>
      </c>
      <c r="H58" s="1">
        <f t="shared" si="0"/>
        <v>209.60000000000002</v>
      </c>
      <c r="I58" s="1" t="s">
        <v>673</v>
      </c>
      <c r="J58" s="1" t="s">
        <v>674</v>
      </c>
      <c r="K58" s="1" t="s">
        <v>47</v>
      </c>
      <c r="L58" s="1" t="s">
        <v>47</v>
      </c>
      <c r="M58" s="1" t="s">
        <v>675</v>
      </c>
      <c r="N58" s="1" t="s">
        <v>673</v>
      </c>
      <c r="O58" s="1" t="s">
        <v>674</v>
      </c>
      <c r="P58" s="1" t="s">
        <v>47</v>
      </c>
      <c r="Q58" s="1" t="s">
        <v>47</v>
      </c>
      <c r="R58" s="1" t="s">
        <v>675</v>
      </c>
      <c r="S58" s="1" t="s">
        <v>676</v>
      </c>
      <c r="T58" s="1" t="s">
        <v>677</v>
      </c>
      <c r="U58" s="1" t="s">
        <v>678</v>
      </c>
      <c r="V58" s="1" t="s">
        <v>675</v>
      </c>
      <c r="W58" s="1" t="s">
        <v>679</v>
      </c>
      <c r="X58" s="1" t="s">
        <v>680</v>
      </c>
    </row>
    <row r="59" spans="1:24" ht="18.75" x14ac:dyDescent="0.25">
      <c r="A59" s="1" t="s">
        <v>37</v>
      </c>
      <c r="B59" s="1" t="s">
        <v>38</v>
      </c>
      <c r="C59" s="1" t="s">
        <v>681</v>
      </c>
      <c r="D59" s="1" t="s">
        <v>682</v>
      </c>
      <c r="E59" s="1" t="s">
        <v>248</v>
      </c>
      <c r="F59" s="1" t="s">
        <v>683</v>
      </c>
      <c r="G59" s="1" t="s">
        <v>684</v>
      </c>
      <c r="H59" s="1">
        <f t="shared" si="0"/>
        <v>142.80000000000001</v>
      </c>
      <c r="I59" s="1" t="s">
        <v>683</v>
      </c>
      <c r="J59" s="1" t="s">
        <v>47</v>
      </c>
      <c r="K59" s="1" t="s">
        <v>47</v>
      </c>
      <c r="L59" s="1" t="s">
        <v>47</v>
      </c>
      <c r="M59" s="1" t="s">
        <v>685</v>
      </c>
      <c r="N59" s="1" t="s">
        <v>683</v>
      </c>
      <c r="O59" s="1" t="s">
        <v>47</v>
      </c>
      <c r="P59" s="1" t="s">
        <v>47</v>
      </c>
      <c r="Q59" s="1" t="s">
        <v>47</v>
      </c>
      <c r="R59" s="1" t="s">
        <v>685</v>
      </c>
      <c r="S59" s="1" t="s">
        <v>686</v>
      </c>
      <c r="T59" s="1" t="s">
        <v>687</v>
      </c>
      <c r="U59" s="1" t="s">
        <v>688</v>
      </c>
      <c r="V59" s="1" t="s">
        <v>685</v>
      </c>
      <c r="W59" s="1" t="s">
        <v>214</v>
      </c>
      <c r="X59" s="1" t="s">
        <v>689</v>
      </c>
    </row>
    <row r="60" spans="1:24" ht="18.75" x14ac:dyDescent="0.25">
      <c r="A60" s="1" t="s">
        <v>37</v>
      </c>
      <c r="B60" s="1" t="s">
        <v>38</v>
      </c>
      <c r="C60" s="1" t="s">
        <v>690</v>
      </c>
      <c r="D60" s="1" t="s">
        <v>691</v>
      </c>
      <c r="E60" s="1" t="s">
        <v>692</v>
      </c>
      <c r="F60" s="1" t="s">
        <v>268</v>
      </c>
      <c r="G60" s="1" t="s">
        <v>693</v>
      </c>
      <c r="H60" s="1">
        <f t="shared" si="0"/>
        <v>235</v>
      </c>
      <c r="I60" s="1" t="s">
        <v>494</v>
      </c>
      <c r="J60" s="1" t="s">
        <v>694</v>
      </c>
      <c r="K60" s="1" t="s">
        <v>695</v>
      </c>
      <c r="L60" s="1" t="s">
        <v>47</v>
      </c>
      <c r="M60" s="1" t="s">
        <v>696</v>
      </c>
      <c r="N60" s="1" t="s">
        <v>494</v>
      </c>
      <c r="O60" s="1" t="s">
        <v>694</v>
      </c>
      <c r="P60" s="1" t="s">
        <v>695</v>
      </c>
      <c r="Q60" s="1" t="s">
        <v>47</v>
      </c>
      <c r="R60" s="1" t="s">
        <v>696</v>
      </c>
      <c r="S60" s="1" t="s">
        <v>697</v>
      </c>
      <c r="T60" s="1" t="s">
        <v>698</v>
      </c>
      <c r="U60" s="1" t="s">
        <v>699</v>
      </c>
      <c r="V60" s="1" t="s">
        <v>696</v>
      </c>
      <c r="W60" s="1" t="s">
        <v>700</v>
      </c>
      <c r="X60" s="1" t="s">
        <v>701</v>
      </c>
    </row>
    <row r="61" spans="1:24" ht="18.75" x14ac:dyDescent="0.25">
      <c r="A61" s="1" t="s">
        <v>37</v>
      </c>
      <c r="B61" s="1" t="s">
        <v>38</v>
      </c>
      <c r="C61" s="1" t="s">
        <v>702</v>
      </c>
      <c r="D61" s="1" t="s">
        <v>703</v>
      </c>
      <c r="E61" s="1" t="s">
        <v>704</v>
      </c>
      <c r="F61" s="1" t="s">
        <v>705</v>
      </c>
      <c r="G61" s="1" t="s">
        <v>706</v>
      </c>
      <c r="H61" s="1">
        <f t="shared" si="0"/>
        <v>151.19999999999999</v>
      </c>
      <c r="I61" s="1" t="s">
        <v>705</v>
      </c>
      <c r="J61" s="1" t="s">
        <v>47</v>
      </c>
      <c r="K61" s="1" t="s">
        <v>47</v>
      </c>
      <c r="L61" s="1" t="s">
        <v>47</v>
      </c>
      <c r="M61" s="1" t="s">
        <v>707</v>
      </c>
      <c r="N61" s="1" t="s">
        <v>705</v>
      </c>
      <c r="O61" s="1" t="s">
        <v>47</v>
      </c>
      <c r="P61" s="1" t="s">
        <v>47</v>
      </c>
      <c r="Q61" s="1" t="s">
        <v>47</v>
      </c>
      <c r="R61" s="1" t="s">
        <v>707</v>
      </c>
      <c r="S61" s="1" t="s">
        <v>708</v>
      </c>
      <c r="T61" s="1" t="s">
        <v>709</v>
      </c>
      <c r="U61" s="1" t="s">
        <v>710</v>
      </c>
      <c r="V61" s="1" t="s">
        <v>707</v>
      </c>
      <c r="W61" s="1" t="s">
        <v>711</v>
      </c>
      <c r="X61" s="1" t="s">
        <v>712</v>
      </c>
    </row>
    <row r="62" spans="1:24" ht="18.75" x14ac:dyDescent="0.25">
      <c r="A62" s="1" t="s">
        <v>37</v>
      </c>
      <c r="B62" s="1" t="s">
        <v>38</v>
      </c>
      <c r="C62" s="1" t="s">
        <v>713</v>
      </c>
      <c r="D62" s="1" t="s">
        <v>714</v>
      </c>
      <c r="E62" s="1" t="s">
        <v>715</v>
      </c>
      <c r="F62" s="1" t="s">
        <v>414</v>
      </c>
      <c r="G62" s="1" t="s">
        <v>716</v>
      </c>
      <c r="H62" s="1">
        <f t="shared" si="0"/>
        <v>187.5</v>
      </c>
      <c r="I62" s="1" t="s">
        <v>717</v>
      </c>
      <c r="J62" s="1" t="s">
        <v>404</v>
      </c>
      <c r="K62" s="1" t="s">
        <v>47</v>
      </c>
      <c r="L62" s="1" t="s">
        <v>47</v>
      </c>
      <c r="M62" s="1" t="s">
        <v>718</v>
      </c>
      <c r="N62" s="1" t="s">
        <v>717</v>
      </c>
      <c r="O62" s="1" t="s">
        <v>404</v>
      </c>
      <c r="P62" s="1" t="s">
        <v>47</v>
      </c>
      <c r="Q62" s="1" t="s">
        <v>47</v>
      </c>
      <c r="R62" s="1" t="s">
        <v>718</v>
      </c>
      <c r="S62" s="1" t="s">
        <v>719</v>
      </c>
      <c r="T62" s="1" t="s">
        <v>720</v>
      </c>
      <c r="U62" s="1" t="s">
        <v>721</v>
      </c>
      <c r="V62" s="1" t="s">
        <v>718</v>
      </c>
      <c r="W62" s="1" t="s">
        <v>722</v>
      </c>
      <c r="X62" s="1" t="s">
        <v>723</v>
      </c>
    </row>
    <row r="63" spans="1:24" ht="18.75" x14ac:dyDescent="0.25">
      <c r="A63" s="1" t="s">
        <v>37</v>
      </c>
      <c r="B63" s="1" t="s">
        <v>38</v>
      </c>
      <c r="C63" s="1" t="s">
        <v>724</v>
      </c>
      <c r="D63" s="1" t="s">
        <v>725</v>
      </c>
      <c r="E63" s="1" t="s">
        <v>244</v>
      </c>
      <c r="F63" s="1" t="s">
        <v>52</v>
      </c>
      <c r="G63" s="1" t="s">
        <v>415</v>
      </c>
      <c r="H63" s="1">
        <f t="shared" si="0"/>
        <v>244.1</v>
      </c>
      <c r="I63" s="1" t="s">
        <v>321</v>
      </c>
      <c r="J63" s="1" t="s">
        <v>726</v>
      </c>
      <c r="K63" s="1" t="s">
        <v>47</v>
      </c>
      <c r="L63" s="1" t="s">
        <v>47</v>
      </c>
      <c r="M63" s="1" t="s">
        <v>727</v>
      </c>
      <c r="N63" s="1" t="s">
        <v>321</v>
      </c>
      <c r="O63" s="1" t="s">
        <v>726</v>
      </c>
      <c r="P63" s="1" t="s">
        <v>47</v>
      </c>
      <c r="Q63" s="1" t="s">
        <v>47</v>
      </c>
      <c r="R63" s="1" t="s">
        <v>727</v>
      </c>
      <c r="S63" s="1" t="s">
        <v>728</v>
      </c>
      <c r="T63" s="1" t="s">
        <v>729</v>
      </c>
      <c r="U63" s="1" t="s">
        <v>730</v>
      </c>
      <c r="V63" s="1" t="s">
        <v>727</v>
      </c>
      <c r="W63" s="1" t="s">
        <v>731</v>
      </c>
      <c r="X63" s="1" t="s">
        <v>732</v>
      </c>
    </row>
    <row r="64" spans="1:24" ht="18.75" x14ac:dyDescent="0.25">
      <c r="A64" s="1" t="s">
        <v>37</v>
      </c>
      <c r="B64" s="1" t="s">
        <v>38</v>
      </c>
      <c r="C64" s="1" t="s">
        <v>733</v>
      </c>
      <c r="D64" s="1" t="s">
        <v>734</v>
      </c>
      <c r="E64" s="1" t="s">
        <v>735</v>
      </c>
      <c r="F64" s="1" t="s">
        <v>661</v>
      </c>
      <c r="G64" s="1" t="s">
        <v>98</v>
      </c>
      <c r="H64" s="1">
        <f t="shared" si="0"/>
        <v>194.9</v>
      </c>
      <c r="I64" s="1" t="s">
        <v>661</v>
      </c>
      <c r="J64" s="1" t="s">
        <v>47</v>
      </c>
      <c r="K64" s="1" t="s">
        <v>47</v>
      </c>
      <c r="L64" s="1" t="s">
        <v>47</v>
      </c>
      <c r="M64" s="1" t="s">
        <v>736</v>
      </c>
      <c r="N64" s="1" t="s">
        <v>661</v>
      </c>
      <c r="O64" s="1" t="s">
        <v>47</v>
      </c>
      <c r="P64" s="1" t="s">
        <v>47</v>
      </c>
      <c r="Q64" s="1" t="s">
        <v>47</v>
      </c>
      <c r="R64" s="1" t="s">
        <v>736</v>
      </c>
      <c r="S64" s="1" t="s">
        <v>737</v>
      </c>
      <c r="T64" s="1" t="s">
        <v>738</v>
      </c>
      <c r="U64" s="1" t="s">
        <v>739</v>
      </c>
      <c r="V64" s="1" t="s">
        <v>736</v>
      </c>
      <c r="W64" s="1" t="s">
        <v>740</v>
      </c>
      <c r="X64" s="1" t="s">
        <v>741</v>
      </c>
    </row>
    <row r="65" spans="1:24" ht="18.75" x14ac:dyDescent="0.25">
      <c r="A65" s="1" t="s">
        <v>37</v>
      </c>
      <c r="B65" s="1" t="s">
        <v>38</v>
      </c>
      <c r="C65" s="1" t="s">
        <v>742</v>
      </c>
      <c r="D65" s="1" t="s">
        <v>743</v>
      </c>
      <c r="E65" s="1" t="s">
        <v>744</v>
      </c>
      <c r="F65" s="1" t="s">
        <v>121</v>
      </c>
      <c r="G65" s="1" t="s">
        <v>745</v>
      </c>
      <c r="H65" s="1">
        <f t="shared" si="0"/>
        <v>111</v>
      </c>
      <c r="I65" s="1" t="s">
        <v>47</v>
      </c>
      <c r="J65" s="1" t="s">
        <v>122</v>
      </c>
      <c r="K65" s="1" t="s">
        <v>746</v>
      </c>
      <c r="L65" s="1" t="s">
        <v>47</v>
      </c>
      <c r="M65" s="1" t="s">
        <v>747</v>
      </c>
      <c r="N65" s="1" t="s">
        <v>47</v>
      </c>
      <c r="O65" s="1" t="s">
        <v>122</v>
      </c>
      <c r="P65" s="1" t="s">
        <v>746</v>
      </c>
      <c r="Q65" s="1" t="s">
        <v>47</v>
      </c>
      <c r="R65" s="1" t="s">
        <v>747</v>
      </c>
      <c r="S65" s="1" t="s">
        <v>748</v>
      </c>
      <c r="T65" s="1" t="s">
        <v>749</v>
      </c>
      <c r="U65" s="1" t="s">
        <v>750</v>
      </c>
      <c r="V65" s="1" t="s">
        <v>747</v>
      </c>
      <c r="W65" s="1" t="s">
        <v>97</v>
      </c>
      <c r="X65" s="1" t="s">
        <v>751</v>
      </c>
    </row>
    <row r="66" spans="1:24" ht="18.75" x14ac:dyDescent="0.25">
      <c r="A66" s="1" t="s">
        <v>37</v>
      </c>
      <c r="B66" s="1" t="s">
        <v>38</v>
      </c>
      <c r="C66" s="1" t="s">
        <v>752</v>
      </c>
      <c r="D66" s="1" t="s">
        <v>753</v>
      </c>
      <c r="E66" s="1" t="s">
        <v>130</v>
      </c>
      <c r="F66" s="1" t="s">
        <v>661</v>
      </c>
      <c r="G66" s="1" t="s">
        <v>630</v>
      </c>
      <c r="H66" s="1">
        <f t="shared" si="0"/>
        <v>224.5</v>
      </c>
      <c r="I66" s="1" t="s">
        <v>754</v>
      </c>
      <c r="J66" s="1" t="s">
        <v>755</v>
      </c>
      <c r="K66" s="1" t="s">
        <v>47</v>
      </c>
      <c r="L66" s="1" t="s">
        <v>47</v>
      </c>
      <c r="M66" s="1" t="s">
        <v>756</v>
      </c>
      <c r="N66" s="1" t="s">
        <v>754</v>
      </c>
      <c r="O66" s="1" t="s">
        <v>755</v>
      </c>
      <c r="P66" s="1" t="s">
        <v>47</v>
      </c>
      <c r="Q66" s="1" t="s">
        <v>47</v>
      </c>
      <c r="R66" s="1" t="s">
        <v>756</v>
      </c>
      <c r="S66" s="1" t="s">
        <v>757</v>
      </c>
      <c r="T66" s="1" t="s">
        <v>758</v>
      </c>
      <c r="U66" s="1" t="s">
        <v>759</v>
      </c>
      <c r="V66" s="1" t="s">
        <v>756</v>
      </c>
      <c r="W66" s="1" t="s">
        <v>130</v>
      </c>
      <c r="X66" s="1" t="s">
        <v>760</v>
      </c>
    </row>
    <row r="67" spans="1:24" ht="18.75" x14ac:dyDescent="0.25">
      <c r="A67" s="1" t="s">
        <v>37</v>
      </c>
      <c r="B67" s="1" t="s">
        <v>38</v>
      </c>
      <c r="C67" s="1" t="s">
        <v>761</v>
      </c>
      <c r="D67" s="1" t="s">
        <v>762</v>
      </c>
      <c r="E67" s="1" t="s">
        <v>763</v>
      </c>
      <c r="F67" s="1" t="s">
        <v>764</v>
      </c>
      <c r="G67" s="1" t="s">
        <v>765</v>
      </c>
      <c r="H67" s="1">
        <f t="shared" si="0"/>
        <v>129.80000000000001</v>
      </c>
      <c r="I67" s="1" t="s">
        <v>47</v>
      </c>
      <c r="J67" s="1" t="s">
        <v>47</v>
      </c>
      <c r="K67" s="1" t="s">
        <v>766</v>
      </c>
      <c r="L67" s="1" t="s">
        <v>767</v>
      </c>
      <c r="M67" s="1" t="s">
        <v>768</v>
      </c>
      <c r="N67" s="1" t="s">
        <v>47</v>
      </c>
      <c r="O67" s="1" t="s">
        <v>47</v>
      </c>
      <c r="P67" s="1" t="s">
        <v>766</v>
      </c>
      <c r="Q67" s="1" t="s">
        <v>767</v>
      </c>
      <c r="R67" s="1" t="s">
        <v>768</v>
      </c>
      <c r="S67" s="1" t="s">
        <v>769</v>
      </c>
      <c r="T67" s="1" t="s">
        <v>770</v>
      </c>
      <c r="U67" s="1" t="s">
        <v>771</v>
      </c>
      <c r="V67" s="1" t="s">
        <v>768</v>
      </c>
      <c r="W67" s="1" t="s">
        <v>772</v>
      </c>
      <c r="X67" s="1" t="s">
        <v>773</v>
      </c>
    </row>
    <row r="68" spans="1:24" ht="18.75" x14ac:dyDescent="0.25">
      <c r="A68" s="1" t="s">
        <v>37</v>
      </c>
      <c r="B68" s="1" t="s">
        <v>38</v>
      </c>
      <c r="C68" s="1" t="s">
        <v>774</v>
      </c>
      <c r="D68" s="1" t="s">
        <v>775</v>
      </c>
      <c r="E68" s="1" t="s">
        <v>287</v>
      </c>
      <c r="F68" s="1" t="s">
        <v>776</v>
      </c>
      <c r="G68" s="1" t="s">
        <v>777</v>
      </c>
      <c r="H68" s="1">
        <f t="shared" ref="H68:H101" si="1">I68+J68+K68+L68+M68</f>
        <v>238</v>
      </c>
      <c r="I68" s="1" t="s">
        <v>776</v>
      </c>
      <c r="J68" s="1" t="s">
        <v>47</v>
      </c>
      <c r="K68" s="1" t="s">
        <v>47</v>
      </c>
      <c r="L68" s="1" t="s">
        <v>47</v>
      </c>
      <c r="M68" s="1" t="s">
        <v>778</v>
      </c>
      <c r="N68" s="1" t="s">
        <v>776</v>
      </c>
      <c r="O68" s="1" t="s">
        <v>47</v>
      </c>
      <c r="P68" s="1" t="s">
        <v>47</v>
      </c>
      <c r="Q68" s="1" t="s">
        <v>47</v>
      </c>
      <c r="R68" s="1" t="s">
        <v>778</v>
      </c>
      <c r="S68" s="1" t="s">
        <v>779</v>
      </c>
      <c r="T68" s="1" t="s">
        <v>780</v>
      </c>
      <c r="U68" s="1" t="s">
        <v>781</v>
      </c>
      <c r="V68" s="1" t="s">
        <v>778</v>
      </c>
      <c r="W68" s="1" t="s">
        <v>782</v>
      </c>
      <c r="X68" s="1" t="s">
        <v>783</v>
      </c>
    </row>
    <row r="69" spans="1:24" ht="18.75" x14ac:dyDescent="0.25">
      <c r="A69" s="1" t="s">
        <v>37</v>
      </c>
      <c r="B69" s="1" t="s">
        <v>38</v>
      </c>
      <c r="C69" s="1" t="s">
        <v>784</v>
      </c>
      <c r="D69" s="1" t="s">
        <v>785</v>
      </c>
      <c r="E69" s="1" t="s">
        <v>786</v>
      </c>
      <c r="F69" s="1" t="s">
        <v>787</v>
      </c>
      <c r="G69" s="1" t="s">
        <v>788</v>
      </c>
      <c r="H69" s="1">
        <f t="shared" si="1"/>
        <v>260.5</v>
      </c>
      <c r="I69" s="1" t="s">
        <v>426</v>
      </c>
      <c r="J69" s="1" t="s">
        <v>47</v>
      </c>
      <c r="K69" s="1" t="s">
        <v>47</v>
      </c>
      <c r="L69" s="1" t="s">
        <v>630</v>
      </c>
      <c r="M69" s="1" t="s">
        <v>789</v>
      </c>
      <c r="N69" s="1" t="s">
        <v>426</v>
      </c>
      <c r="O69" s="1" t="s">
        <v>47</v>
      </c>
      <c r="P69" s="1" t="s">
        <v>47</v>
      </c>
      <c r="Q69" s="1" t="s">
        <v>630</v>
      </c>
      <c r="R69" s="1" t="s">
        <v>789</v>
      </c>
      <c r="S69" s="1" t="s">
        <v>790</v>
      </c>
      <c r="T69" s="1" t="s">
        <v>791</v>
      </c>
      <c r="U69" s="1" t="s">
        <v>792</v>
      </c>
      <c r="V69" s="1" t="s">
        <v>789</v>
      </c>
      <c r="W69" s="1" t="s">
        <v>793</v>
      </c>
      <c r="X69" s="1" t="s">
        <v>794</v>
      </c>
    </row>
    <row r="70" spans="1:24" ht="18.75" x14ac:dyDescent="0.25">
      <c r="A70" s="1" t="s">
        <v>37</v>
      </c>
      <c r="B70" s="1" t="s">
        <v>38</v>
      </c>
      <c r="C70" s="1" t="s">
        <v>795</v>
      </c>
      <c r="D70" s="1" t="s">
        <v>796</v>
      </c>
      <c r="E70" s="1" t="s">
        <v>797</v>
      </c>
      <c r="F70" s="1" t="s">
        <v>798</v>
      </c>
      <c r="G70" s="1" t="s">
        <v>799</v>
      </c>
      <c r="H70" s="1">
        <f t="shared" si="1"/>
        <v>228.60000000000002</v>
      </c>
      <c r="I70" s="1" t="s">
        <v>800</v>
      </c>
      <c r="J70" s="1" t="s">
        <v>695</v>
      </c>
      <c r="K70" s="1" t="s">
        <v>47</v>
      </c>
      <c r="L70" s="1" t="s">
        <v>338</v>
      </c>
      <c r="M70" s="1" t="s">
        <v>801</v>
      </c>
      <c r="N70" s="1" t="s">
        <v>800</v>
      </c>
      <c r="O70" s="1" t="s">
        <v>695</v>
      </c>
      <c r="P70" s="1" t="s">
        <v>47</v>
      </c>
      <c r="Q70" s="1" t="s">
        <v>338</v>
      </c>
      <c r="R70" s="1" t="s">
        <v>801</v>
      </c>
      <c r="S70" s="1" t="s">
        <v>802</v>
      </c>
      <c r="T70" s="1" t="s">
        <v>803</v>
      </c>
      <c r="U70" s="1" t="s">
        <v>804</v>
      </c>
      <c r="V70" s="1" t="s">
        <v>801</v>
      </c>
      <c r="W70" s="1" t="s">
        <v>805</v>
      </c>
      <c r="X70" s="1" t="s">
        <v>806</v>
      </c>
    </row>
    <row r="71" spans="1:24" ht="18.75" x14ac:dyDescent="0.25">
      <c r="A71" s="1" t="s">
        <v>37</v>
      </c>
      <c r="B71" s="1" t="s">
        <v>38</v>
      </c>
      <c r="C71" s="1" t="s">
        <v>807</v>
      </c>
      <c r="D71" s="1" t="s">
        <v>808</v>
      </c>
      <c r="E71" s="1" t="s">
        <v>657</v>
      </c>
      <c r="F71" s="1" t="s">
        <v>226</v>
      </c>
      <c r="G71" s="1" t="s">
        <v>348</v>
      </c>
      <c r="H71" s="1">
        <f t="shared" si="1"/>
        <v>233.1</v>
      </c>
      <c r="I71" s="1" t="s">
        <v>287</v>
      </c>
      <c r="J71" s="1" t="s">
        <v>47</v>
      </c>
      <c r="K71" s="1" t="s">
        <v>47</v>
      </c>
      <c r="L71" s="1" t="s">
        <v>448</v>
      </c>
      <c r="M71" s="1" t="s">
        <v>809</v>
      </c>
      <c r="N71" s="1" t="s">
        <v>287</v>
      </c>
      <c r="O71" s="1" t="s">
        <v>47</v>
      </c>
      <c r="P71" s="1" t="s">
        <v>47</v>
      </c>
      <c r="Q71" s="1" t="s">
        <v>448</v>
      </c>
      <c r="R71" s="1" t="s">
        <v>809</v>
      </c>
      <c r="S71" s="1" t="s">
        <v>810</v>
      </c>
      <c r="T71" s="1" t="s">
        <v>811</v>
      </c>
      <c r="U71" s="1" t="s">
        <v>812</v>
      </c>
      <c r="V71" s="1" t="s">
        <v>809</v>
      </c>
      <c r="W71" s="1" t="s">
        <v>800</v>
      </c>
      <c r="X71" s="1" t="s">
        <v>813</v>
      </c>
    </row>
    <row r="72" spans="1:24" ht="18.75" x14ac:dyDescent="0.25">
      <c r="A72" s="1" t="s">
        <v>37</v>
      </c>
      <c r="B72" s="1" t="s">
        <v>38</v>
      </c>
      <c r="C72" s="1" t="s">
        <v>814</v>
      </c>
      <c r="D72" s="1" t="s">
        <v>815</v>
      </c>
      <c r="E72" s="1" t="s">
        <v>816</v>
      </c>
      <c r="F72" s="1" t="s">
        <v>817</v>
      </c>
      <c r="G72" s="1" t="s">
        <v>818</v>
      </c>
      <c r="H72" s="1">
        <f t="shared" si="1"/>
        <v>169.3</v>
      </c>
      <c r="I72" s="1" t="s">
        <v>818</v>
      </c>
      <c r="J72" s="1" t="s">
        <v>59</v>
      </c>
      <c r="K72" s="1" t="s">
        <v>263</v>
      </c>
      <c r="L72" s="1" t="s">
        <v>200</v>
      </c>
      <c r="M72" s="1" t="s">
        <v>819</v>
      </c>
      <c r="N72" s="1" t="s">
        <v>818</v>
      </c>
      <c r="O72" s="1" t="s">
        <v>59</v>
      </c>
      <c r="P72" s="1" t="s">
        <v>263</v>
      </c>
      <c r="Q72" s="1" t="s">
        <v>200</v>
      </c>
      <c r="R72" s="1" t="s">
        <v>819</v>
      </c>
      <c r="S72" s="1" t="s">
        <v>820</v>
      </c>
      <c r="T72" s="1" t="s">
        <v>821</v>
      </c>
      <c r="U72" s="1" t="s">
        <v>822</v>
      </c>
      <c r="V72" s="1" t="s">
        <v>819</v>
      </c>
      <c r="W72" s="1" t="s">
        <v>711</v>
      </c>
      <c r="X72" s="1" t="s">
        <v>823</v>
      </c>
    </row>
    <row r="73" spans="1:24" ht="18.75" x14ac:dyDescent="0.25">
      <c r="A73" s="1" t="s">
        <v>37</v>
      </c>
      <c r="B73" s="1" t="s">
        <v>38</v>
      </c>
      <c r="C73" s="1" t="s">
        <v>824</v>
      </c>
      <c r="D73" s="1" t="s">
        <v>825</v>
      </c>
      <c r="E73" s="1" t="s">
        <v>715</v>
      </c>
      <c r="F73" s="1" t="s">
        <v>826</v>
      </c>
      <c r="G73" s="1" t="s">
        <v>827</v>
      </c>
      <c r="H73" s="1">
        <f t="shared" si="1"/>
        <v>198.6</v>
      </c>
      <c r="I73" s="1" t="s">
        <v>828</v>
      </c>
      <c r="J73" s="1" t="s">
        <v>338</v>
      </c>
      <c r="K73" s="1" t="s">
        <v>47</v>
      </c>
      <c r="L73" s="1" t="s">
        <v>239</v>
      </c>
      <c r="M73" s="1" t="s">
        <v>829</v>
      </c>
      <c r="N73" s="1" t="s">
        <v>828</v>
      </c>
      <c r="O73" s="1" t="s">
        <v>338</v>
      </c>
      <c r="P73" s="1" t="s">
        <v>47</v>
      </c>
      <c r="Q73" s="1" t="s">
        <v>239</v>
      </c>
      <c r="R73" s="1" t="s">
        <v>829</v>
      </c>
      <c r="S73" s="1" t="s">
        <v>830</v>
      </c>
      <c r="T73" s="1" t="s">
        <v>831</v>
      </c>
      <c r="U73" s="1" t="s">
        <v>832</v>
      </c>
      <c r="V73" s="1" t="s">
        <v>829</v>
      </c>
      <c r="W73" s="1" t="s">
        <v>833</v>
      </c>
      <c r="X73" s="1" t="s">
        <v>834</v>
      </c>
    </row>
    <row r="74" spans="1:24" ht="18.75" x14ac:dyDescent="0.25">
      <c r="A74" s="1" t="s">
        <v>37</v>
      </c>
      <c r="B74" s="1" t="s">
        <v>38</v>
      </c>
      <c r="C74" s="1" t="s">
        <v>835</v>
      </c>
      <c r="D74" s="1" t="s">
        <v>836</v>
      </c>
      <c r="E74" s="1" t="s">
        <v>837</v>
      </c>
      <c r="F74" s="1" t="s">
        <v>337</v>
      </c>
      <c r="G74" s="1" t="s">
        <v>152</v>
      </c>
      <c r="H74" s="1">
        <f t="shared" si="1"/>
        <v>147.80000000000001</v>
      </c>
      <c r="I74" s="1" t="s">
        <v>337</v>
      </c>
      <c r="J74" s="1" t="s">
        <v>47</v>
      </c>
      <c r="K74" s="1" t="s">
        <v>47</v>
      </c>
      <c r="L74" s="1" t="s">
        <v>838</v>
      </c>
      <c r="M74" s="1" t="s">
        <v>839</v>
      </c>
      <c r="N74" s="1" t="s">
        <v>337</v>
      </c>
      <c r="O74" s="1" t="s">
        <v>47</v>
      </c>
      <c r="P74" s="1" t="s">
        <v>47</v>
      </c>
      <c r="Q74" s="1" t="s">
        <v>838</v>
      </c>
      <c r="R74" s="1" t="s">
        <v>839</v>
      </c>
      <c r="S74" s="1" t="s">
        <v>840</v>
      </c>
      <c r="T74" s="1" t="s">
        <v>841</v>
      </c>
      <c r="U74" s="1" t="s">
        <v>842</v>
      </c>
      <c r="V74" s="1" t="s">
        <v>839</v>
      </c>
      <c r="W74" s="1" t="s">
        <v>843</v>
      </c>
      <c r="X74" s="1" t="s">
        <v>844</v>
      </c>
    </row>
    <row r="75" spans="1:24" ht="18.75" x14ac:dyDescent="0.25">
      <c r="A75" s="1" t="s">
        <v>37</v>
      </c>
      <c r="B75" s="1" t="s">
        <v>38</v>
      </c>
      <c r="C75" s="1" t="s">
        <v>845</v>
      </c>
      <c r="D75" s="1" t="s">
        <v>846</v>
      </c>
      <c r="E75" s="1" t="s">
        <v>847</v>
      </c>
      <c r="F75" s="1" t="s">
        <v>848</v>
      </c>
      <c r="G75" s="1" t="s">
        <v>695</v>
      </c>
      <c r="H75" s="1">
        <f t="shared" si="1"/>
        <v>79.900000000000006</v>
      </c>
      <c r="I75" s="1" t="s">
        <v>535</v>
      </c>
      <c r="J75" s="1" t="s">
        <v>326</v>
      </c>
      <c r="K75" s="1" t="s">
        <v>471</v>
      </c>
      <c r="L75" s="1" t="s">
        <v>763</v>
      </c>
      <c r="M75" s="1"/>
      <c r="N75" s="1" t="s">
        <v>535</v>
      </c>
      <c r="O75" s="1" t="s">
        <v>326</v>
      </c>
      <c r="P75" s="1" t="s">
        <v>471</v>
      </c>
      <c r="Q75" s="1" t="s">
        <v>763</v>
      </c>
      <c r="R75" s="1"/>
      <c r="S75" s="1"/>
      <c r="T75" s="1"/>
      <c r="U75" s="1"/>
      <c r="V75" s="1"/>
      <c r="W75" s="1" t="s">
        <v>849</v>
      </c>
      <c r="X75" s="1" t="s">
        <v>850</v>
      </c>
    </row>
    <row r="76" spans="1:24" ht="18.75" x14ac:dyDescent="0.25">
      <c r="A76" s="1" t="s">
        <v>37</v>
      </c>
      <c r="B76" s="1" t="s">
        <v>38</v>
      </c>
      <c r="C76" s="1" t="s">
        <v>851</v>
      </c>
      <c r="D76" s="1" t="s">
        <v>852</v>
      </c>
      <c r="E76" s="1" t="s">
        <v>413</v>
      </c>
      <c r="F76" s="1" t="s">
        <v>173</v>
      </c>
      <c r="G76" s="1" t="s">
        <v>348</v>
      </c>
      <c r="H76" s="1">
        <f t="shared" si="1"/>
        <v>162.60000000000002</v>
      </c>
      <c r="I76" s="1" t="s">
        <v>173</v>
      </c>
      <c r="J76" s="1" t="s">
        <v>47</v>
      </c>
      <c r="K76" s="1" t="s">
        <v>47</v>
      </c>
      <c r="L76" s="1" t="s">
        <v>47</v>
      </c>
      <c r="M76" s="1" t="s">
        <v>853</v>
      </c>
      <c r="N76" s="1" t="s">
        <v>173</v>
      </c>
      <c r="O76" s="1" t="s">
        <v>47</v>
      </c>
      <c r="P76" s="1" t="s">
        <v>47</v>
      </c>
      <c r="Q76" s="1" t="s">
        <v>47</v>
      </c>
      <c r="R76" s="1" t="s">
        <v>853</v>
      </c>
      <c r="S76" s="1" t="s">
        <v>854</v>
      </c>
      <c r="T76" s="1" t="s">
        <v>855</v>
      </c>
      <c r="U76" s="1" t="s">
        <v>856</v>
      </c>
      <c r="V76" s="1" t="s">
        <v>853</v>
      </c>
      <c r="W76" s="1" t="s">
        <v>530</v>
      </c>
      <c r="X76" s="1" t="s">
        <v>857</v>
      </c>
    </row>
    <row r="77" spans="1:24" ht="18.75" x14ac:dyDescent="0.25">
      <c r="A77" s="1" t="s">
        <v>37</v>
      </c>
      <c r="B77" s="1" t="s">
        <v>38</v>
      </c>
      <c r="C77" s="1" t="s">
        <v>858</v>
      </c>
      <c r="D77" s="1" t="s">
        <v>859</v>
      </c>
      <c r="E77" s="1" t="s">
        <v>860</v>
      </c>
      <c r="F77" s="1" t="s">
        <v>861</v>
      </c>
      <c r="G77" s="1" t="s">
        <v>862</v>
      </c>
      <c r="H77" s="1">
        <f t="shared" si="1"/>
        <v>333.6</v>
      </c>
      <c r="I77" s="1" t="s">
        <v>863</v>
      </c>
      <c r="J77" s="1" t="s">
        <v>864</v>
      </c>
      <c r="K77" s="1" t="s">
        <v>525</v>
      </c>
      <c r="L77" s="1" t="s">
        <v>416</v>
      </c>
      <c r="M77" s="1" t="s">
        <v>865</v>
      </c>
      <c r="N77" s="1" t="s">
        <v>863</v>
      </c>
      <c r="O77" s="1" t="s">
        <v>864</v>
      </c>
      <c r="P77" s="1" t="s">
        <v>525</v>
      </c>
      <c r="Q77" s="1" t="s">
        <v>416</v>
      </c>
      <c r="R77" s="1" t="s">
        <v>865</v>
      </c>
      <c r="S77" s="1" t="s">
        <v>866</v>
      </c>
      <c r="T77" s="1" t="s">
        <v>867</v>
      </c>
      <c r="U77" s="1" t="s">
        <v>868</v>
      </c>
      <c r="V77" s="1" t="s">
        <v>865</v>
      </c>
      <c r="W77" s="1" t="s">
        <v>249</v>
      </c>
      <c r="X77" s="1" t="s">
        <v>869</v>
      </c>
    </row>
    <row r="78" spans="1:24" ht="18.75" x14ac:dyDescent="0.25">
      <c r="A78" s="1" t="s">
        <v>37</v>
      </c>
      <c r="B78" s="1" t="s">
        <v>38</v>
      </c>
      <c r="C78" s="1" t="s">
        <v>870</v>
      </c>
      <c r="D78" s="1" t="s">
        <v>871</v>
      </c>
      <c r="E78" s="1" t="s">
        <v>540</v>
      </c>
      <c r="F78" s="1" t="s">
        <v>872</v>
      </c>
      <c r="G78" s="1" t="s">
        <v>873</v>
      </c>
      <c r="H78" s="1">
        <f t="shared" si="1"/>
        <v>217.79999999999998</v>
      </c>
      <c r="I78" s="1" t="s">
        <v>874</v>
      </c>
      <c r="J78" s="1" t="s">
        <v>75</v>
      </c>
      <c r="K78" s="1" t="s">
        <v>875</v>
      </c>
      <c r="L78" s="1" t="s">
        <v>47</v>
      </c>
      <c r="M78" s="1" t="s">
        <v>876</v>
      </c>
      <c r="N78" s="1" t="s">
        <v>874</v>
      </c>
      <c r="O78" s="1" t="s">
        <v>75</v>
      </c>
      <c r="P78" s="1" t="s">
        <v>875</v>
      </c>
      <c r="Q78" s="1" t="s">
        <v>47</v>
      </c>
      <c r="R78" s="1" t="s">
        <v>876</v>
      </c>
      <c r="S78" s="1" t="s">
        <v>877</v>
      </c>
      <c r="T78" s="1" t="s">
        <v>878</v>
      </c>
      <c r="U78" s="1" t="s">
        <v>879</v>
      </c>
      <c r="V78" s="1" t="s">
        <v>876</v>
      </c>
      <c r="W78" s="1" t="s">
        <v>347</v>
      </c>
      <c r="X78" s="1" t="s">
        <v>880</v>
      </c>
    </row>
    <row r="79" spans="1:24" ht="18.75" x14ac:dyDescent="0.25">
      <c r="A79" s="1" t="s">
        <v>37</v>
      </c>
      <c r="B79" s="1" t="s">
        <v>38</v>
      </c>
      <c r="C79" s="1" t="s">
        <v>881</v>
      </c>
      <c r="D79" s="1" t="s">
        <v>882</v>
      </c>
      <c r="E79" s="1" t="s">
        <v>883</v>
      </c>
      <c r="F79" s="1" t="s">
        <v>884</v>
      </c>
      <c r="G79" s="1" t="s">
        <v>58</v>
      </c>
      <c r="H79" s="1">
        <f t="shared" si="1"/>
        <v>131.30000000000001</v>
      </c>
      <c r="I79" s="1" t="s">
        <v>121</v>
      </c>
      <c r="J79" s="1" t="s">
        <v>885</v>
      </c>
      <c r="K79" s="1" t="s">
        <v>47</v>
      </c>
      <c r="L79" s="1" t="s">
        <v>47</v>
      </c>
      <c r="M79" s="1" t="s">
        <v>886</v>
      </c>
      <c r="N79" s="1" t="s">
        <v>121</v>
      </c>
      <c r="O79" s="1" t="s">
        <v>885</v>
      </c>
      <c r="P79" s="1" t="s">
        <v>47</v>
      </c>
      <c r="Q79" s="1" t="s">
        <v>47</v>
      </c>
      <c r="R79" s="1" t="s">
        <v>886</v>
      </c>
      <c r="S79" s="1" t="s">
        <v>887</v>
      </c>
      <c r="T79" s="1" t="s">
        <v>888</v>
      </c>
      <c r="U79" s="1" t="s">
        <v>889</v>
      </c>
      <c r="V79" s="1" t="s">
        <v>886</v>
      </c>
      <c r="W79" s="1" t="s">
        <v>354</v>
      </c>
      <c r="X79" s="1" t="s">
        <v>890</v>
      </c>
    </row>
    <row r="80" spans="1:24" ht="18.75" x14ac:dyDescent="0.25">
      <c r="A80" s="1" t="s">
        <v>37</v>
      </c>
      <c r="B80" s="1" t="s">
        <v>38</v>
      </c>
      <c r="C80" s="1" t="s">
        <v>891</v>
      </c>
      <c r="D80" s="1" t="s">
        <v>892</v>
      </c>
      <c r="E80" s="1" t="s">
        <v>225</v>
      </c>
      <c r="F80" s="1" t="s">
        <v>893</v>
      </c>
      <c r="G80" s="1" t="s">
        <v>348</v>
      </c>
      <c r="H80" s="1">
        <f t="shared" si="1"/>
        <v>104.69999999999999</v>
      </c>
      <c r="I80" s="1" t="s">
        <v>894</v>
      </c>
      <c r="J80" s="1" t="s">
        <v>47</v>
      </c>
      <c r="K80" s="1" t="s">
        <v>47</v>
      </c>
      <c r="L80" s="1" t="s">
        <v>98</v>
      </c>
      <c r="M80" s="1" t="s">
        <v>895</v>
      </c>
      <c r="N80" s="1" t="s">
        <v>894</v>
      </c>
      <c r="O80" s="1" t="s">
        <v>47</v>
      </c>
      <c r="P80" s="1" t="s">
        <v>47</v>
      </c>
      <c r="Q80" s="1" t="s">
        <v>98</v>
      </c>
      <c r="R80" s="1" t="s">
        <v>895</v>
      </c>
      <c r="S80" s="1" t="s">
        <v>896</v>
      </c>
      <c r="T80" s="1" t="s">
        <v>897</v>
      </c>
      <c r="U80" s="1" t="s">
        <v>898</v>
      </c>
      <c r="V80" s="1" t="s">
        <v>895</v>
      </c>
      <c r="W80" s="1" t="s">
        <v>899</v>
      </c>
      <c r="X80" s="1" t="s">
        <v>900</v>
      </c>
    </row>
    <row r="81" spans="1:24" ht="18.75" x14ac:dyDescent="0.25">
      <c r="A81" s="1" t="s">
        <v>37</v>
      </c>
      <c r="B81" s="1" t="s">
        <v>38</v>
      </c>
      <c r="C81" s="1" t="s">
        <v>901</v>
      </c>
      <c r="D81" s="1" t="s">
        <v>902</v>
      </c>
      <c r="E81" s="1" t="s">
        <v>833</v>
      </c>
      <c r="F81" s="1" t="s">
        <v>555</v>
      </c>
      <c r="G81" s="1" t="s">
        <v>903</v>
      </c>
      <c r="H81" s="1">
        <f t="shared" si="1"/>
        <v>219.6</v>
      </c>
      <c r="I81" s="1" t="s">
        <v>904</v>
      </c>
      <c r="J81" s="1" t="s">
        <v>47</v>
      </c>
      <c r="K81" s="1" t="s">
        <v>47</v>
      </c>
      <c r="L81" s="1" t="s">
        <v>47</v>
      </c>
      <c r="M81" s="1" t="s">
        <v>905</v>
      </c>
      <c r="N81" s="1" t="s">
        <v>904</v>
      </c>
      <c r="O81" s="1" t="s">
        <v>47</v>
      </c>
      <c r="P81" s="1" t="s">
        <v>47</v>
      </c>
      <c r="Q81" s="1" t="s">
        <v>47</v>
      </c>
      <c r="R81" s="1" t="s">
        <v>905</v>
      </c>
      <c r="S81" s="1" t="s">
        <v>906</v>
      </c>
      <c r="T81" s="1" t="s">
        <v>907</v>
      </c>
      <c r="U81" s="1" t="s">
        <v>908</v>
      </c>
      <c r="V81" s="1" t="s">
        <v>905</v>
      </c>
      <c r="W81" s="1" t="s">
        <v>909</v>
      </c>
      <c r="X81" s="1" t="s">
        <v>910</v>
      </c>
    </row>
    <row r="82" spans="1:24" ht="18.75" x14ac:dyDescent="0.25">
      <c r="A82" s="1" t="s">
        <v>37</v>
      </c>
      <c r="B82" s="1" t="s">
        <v>38</v>
      </c>
      <c r="C82" s="1" t="s">
        <v>911</v>
      </c>
      <c r="D82" s="1" t="s">
        <v>912</v>
      </c>
      <c r="E82" s="1" t="s">
        <v>426</v>
      </c>
      <c r="F82" s="1" t="s">
        <v>913</v>
      </c>
      <c r="G82" s="1" t="s">
        <v>914</v>
      </c>
      <c r="H82" s="1">
        <f t="shared" si="1"/>
        <v>257.8</v>
      </c>
      <c r="I82" s="1" t="s">
        <v>704</v>
      </c>
      <c r="J82" s="1" t="s">
        <v>209</v>
      </c>
      <c r="K82" s="1" t="s">
        <v>915</v>
      </c>
      <c r="L82" s="1" t="s">
        <v>152</v>
      </c>
      <c r="M82" s="1" t="s">
        <v>916</v>
      </c>
      <c r="N82" s="1" t="s">
        <v>704</v>
      </c>
      <c r="O82" s="1" t="s">
        <v>209</v>
      </c>
      <c r="P82" s="1" t="s">
        <v>915</v>
      </c>
      <c r="Q82" s="1" t="s">
        <v>152</v>
      </c>
      <c r="R82" s="1" t="s">
        <v>916</v>
      </c>
      <c r="S82" s="1" t="s">
        <v>917</v>
      </c>
      <c r="T82" s="1" t="s">
        <v>918</v>
      </c>
      <c r="U82" s="1" t="s">
        <v>919</v>
      </c>
      <c r="V82" s="1" t="s">
        <v>916</v>
      </c>
      <c r="W82" s="1" t="s">
        <v>321</v>
      </c>
      <c r="X82" s="1" t="s">
        <v>920</v>
      </c>
    </row>
    <row r="83" spans="1:24" ht="18.75" x14ac:dyDescent="0.25">
      <c r="A83" s="1" t="s">
        <v>37</v>
      </c>
      <c r="B83" s="1" t="s">
        <v>38</v>
      </c>
      <c r="C83" s="1" t="s">
        <v>921</v>
      </c>
      <c r="D83" s="1" t="s">
        <v>922</v>
      </c>
      <c r="E83" s="1" t="s">
        <v>52</v>
      </c>
      <c r="F83" s="1" t="s">
        <v>793</v>
      </c>
      <c r="G83" s="1" t="s">
        <v>745</v>
      </c>
      <c r="H83" s="1">
        <f t="shared" si="1"/>
        <v>210.79999999999998</v>
      </c>
      <c r="I83" s="1" t="s">
        <v>923</v>
      </c>
      <c r="J83" s="1" t="s">
        <v>224</v>
      </c>
      <c r="K83" s="1" t="s">
        <v>924</v>
      </c>
      <c r="L83" s="1" t="s">
        <v>47</v>
      </c>
      <c r="M83" s="1" t="s">
        <v>925</v>
      </c>
      <c r="N83" s="1" t="s">
        <v>923</v>
      </c>
      <c r="O83" s="1" t="s">
        <v>224</v>
      </c>
      <c r="P83" s="1" t="s">
        <v>924</v>
      </c>
      <c r="Q83" s="1" t="s">
        <v>47</v>
      </c>
      <c r="R83" s="1" t="s">
        <v>925</v>
      </c>
      <c r="S83" s="1" t="s">
        <v>926</v>
      </c>
      <c r="T83" s="1" t="s">
        <v>927</v>
      </c>
      <c r="U83" s="1" t="s">
        <v>928</v>
      </c>
      <c r="V83" s="1" t="s">
        <v>925</v>
      </c>
      <c r="W83" s="1" t="s">
        <v>480</v>
      </c>
      <c r="X83" s="1" t="s">
        <v>929</v>
      </c>
    </row>
    <row r="84" spans="1:24" ht="18.75" x14ac:dyDescent="0.25">
      <c r="A84" s="1" t="s">
        <v>37</v>
      </c>
      <c r="B84" s="1" t="s">
        <v>38</v>
      </c>
      <c r="C84" s="1" t="s">
        <v>930</v>
      </c>
      <c r="D84" s="1" t="s">
        <v>931</v>
      </c>
      <c r="E84" s="1" t="s">
        <v>932</v>
      </c>
      <c r="F84" s="1" t="s">
        <v>503</v>
      </c>
      <c r="G84" s="1" t="s">
        <v>933</v>
      </c>
      <c r="H84" s="1">
        <f t="shared" si="1"/>
        <v>105.5</v>
      </c>
      <c r="I84" s="1" t="s">
        <v>934</v>
      </c>
      <c r="J84" s="1" t="s">
        <v>838</v>
      </c>
      <c r="K84" s="1" t="s">
        <v>47</v>
      </c>
      <c r="L84" s="1" t="s">
        <v>630</v>
      </c>
      <c r="M84" s="1" t="s">
        <v>935</v>
      </c>
      <c r="N84" s="1" t="s">
        <v>934</v>
      </c>
      <c r="O84" s="1" t="s">
        <v>838</v>
      </c>
      <c r="P84" s="1" t="s">
        <v>47</v>
      </c>
      <c r="Q84" s="1" t="s">
        <v>630</v>
      </c>
      <c r="R84" s="1" t="s">
        <v>935</v>
      </c>
      <c r="S84" s="1" t="s">
        <v>936</v>
      </c>
      <c r="T84" s="1" t="s">
        <v>937</v>
      </c>
      <c r="U84" s="1" t="s">
        <v>938</v>
      </c>
      <c r="V84" s="1" t="s">
        <v>935</v>
      </c>
      <c r="W84" s="1" t="s">
        <v>939</v>
      </c>
      <c r="X84" s="1" t="s">
        <v>940</v>
      </c>
    </row>
    <row r="85" spans="1:24" ht="18.75" x14ac:dyDescent="0.25">
      <c r="A85" s="1" t="s">
        <v>37</v>
      </c>
      <c r="B85" s="1" t="s">
        <v>38</v>
      </c>
      <c r="C85" s="1" t="s">
        <v>941</v>
      </c>
      <c r="D85" s="1" t="s">
        <v>942</v>
      </c>
      <c r="E85" s="1" t="s">
        <v>577</v>
      </c>
      <c r="F85" s="1" t="s">
        <v>943</v>
      </c>
      <c r="G85" s="1" t="s">
        <v>458</v>
      </c>
      <c r="H85" s="1">
        <f t="shared" si="1"/>
        <v>208.8</v>
      </c>
      <c r="I85" s="1" t="s">
        <v>944</v>
      </c>
      <c r="J85" s="1" t="s">
        <v>945</v>
      </c>
      <c r="K85" s="1" t="s">
        <v>946</v>
      </c>
      <c r="L85" s="1" t="s">
        <v>47</v>
      </c>
      <c r="M85" s="1" t="s">
        <v>947</v>
      </c>
      <c r="N85" s="1" t="s">
        <v>944</v>
      </c>
      <c r="O85" s="1" t="s">
        <v>945</v>
      </c>
      <c r="P85" s="1" t="s">
        <v>946</v>
      </c>
      <c r="Q85" s="1" t="s">
        <v>47</v>
      </c>
      <c r="R85" s="1" t="s">
        <v>947</v>
      </c>
      <c r="S85" s="1" t="s">
        <v>948</v>
      </c>
      <c r="T85" s="1" t="s">
        <v>949</v>
      </c>
      <c r="U85" s="1" t="s">
        <v>950</v>
      </c>
      <c r="V85" s="1" t="s">
        <v>947</v>
      </c>
      <c r="W85" s="1" t="s">
        <v>951</v>
      </c>
      <c r="X85" s="1" t="s">
        <v>952</v>
      </c>
    </row>
    <row r="86" spans="1:24" ht="18.75" x14ac:dyDescent="0.25">
      <c r="A86" s="1" t="s">
        <v>37</v>
      </c>
      <c r="B86" s="1" t="s">
        <v>38</v>
      </c>
      <c r="C86" s="1" t="s">
        <v>953</v>
      </c>
      <c r="D86" s="1" t="s">
        <v>954</v>
      </c>
      <c r="E86" s="1" t="s">
        <v>628</v>
      </c>
      <c r="F86" s="1" t="s">
        <v>409</v>
      </c>
      <c r="G86" s="1" t="s">
        <v>955</v>
      </c>
      <c r="H86" s="1">
        <f t="shared" si="1"/>
        <v>279.7</v>
      </c>
      <c r="I86" s="1" t="s">
        <v>134</v>
      </c>
      <c r="J86" s="1" t="s">
        <v>211</v>
      </c>
      <c r="K86" s="1" t="s">
        <v>47</v>
      </c>
      <c r="L86" s="1" t="s">
        <v>956</v>
      </c>
      <c r="M86" s="1" t="s">
        <v>957</v>
      </c>
      <c r="N86" s="1" t="s">
        <v>134</v>
      </c>
      <c r="O86" s="1" t="s">
        <v>211</v>
      </c>
      <c r="P86" s="1" t="s">
        <v>47</v>
      </c>
      <c r="Q86" s="1" t="s">
        <v>956</v>
      </c>
      <c r="R86" s="1" t="s">
        <v>957</v>
      </c>
      <c r="S86" s="1" t="s">
        <v>958</v>
      </c>
      <c r="T86" s="1" t="s">
        <v>959</v>
      </c>
      <c r="U86" s="1" t="s">
        <v>960</v>
      </c>
      <c r="V86" s="1" t="s">
        <v>957</v>
      </c>
      <c r="W86" s="1" t="s">
        <v>961</v>
      </c>
      <c r="X86" s="1" t="s">
        <v>962</v>
      </c>
    </row>
    <row r="87" spans="1:24" ht="18.75" x14ac:dyDescent="0.25">
      <c r="A87" s="1" t="s">
        <v>37</v>
      </c>
      <c r="B87" s="1" t="s">
        <v>38</v>
      </c>
      <c r="C87" s="1" t="s">
        <v>963</v>
      </c>
      <c r="D87" s="1" t="s">
        <v>964</v>
      </c>
      <c r="E87" s="1" t="s">
        <v>965</v>
      </c>
      <c r="F87" s="1" t="s">
        <v>966</v>
      </c>
      <c r="G87" s="1" t="s">
        <v>956</v>
      </c>
      <c r="H87" s="1">
        <f t="shared" si="1"/>
        <v>265.40000000000003</v>
      </c>
      <c r="I87" s="1" t="s">
        <v>967</v>
      </c>
      <c r="J87" s="1" t="s">
        <v>968</v>
      </c>
      <c r="K87" s="1" t="s">
        <v>188</v>
      </c>
      <c r="L87" s="1" t="s">
        <v>251</v>
      </c>
      <c r="M87" s="1" t="s">
        <v>969</v>
      </c>
      <c r="N87" s="1" t="s">
        <v>967</v>
      </c>
      <c r="O87" s="1" t="s">
        <v>968</v>
      </c>
      <c r="P87" s="1" t="s">
        <v>188</v>
      </c>
      <c r="Q87" s="1" t="s">
        <v>251</v>
      </c>
      <c r="R87" s="1" t="s">
        <v>969</v>
      </c>
      <c r="S87" s="1" t="s">
        <v>970</v>
      </c>
      <c r="T87" s="1" t="s">
        <v>971</v>
      </c>
      <c r="U87" s="1" t="s">
        <v>972</v>
      </c>
      <c r="V87" s="1" t="s">
        <v>969</v>
      </c>
      <c r="W87" s="1" t="s">
        <v>399</v>
      </c>
      <c r="X87" s="1" t="s">
        <v>973</v>
      </c>
    </row>
    <row r="88" spans="1:24" ht="18.75" x14ac:dyDescent="0.25">
      <c r="A88" s="1" t="s">
        <v>37</v>
      </c>
      <c r="B88" s="1" t="s">
        <v>38</v>
      </c>
      <c r="C88" s="1" t="s">
        <v>974</v>
      </c>
      <c r="D88" s="1" t="s">
        <v>975</v>
      </c>
      <c r="E88" s="1" t="s">
        <v>976</v>
      </c>
      <c r="F88" s="1" t="s">
        <v>977</v>
      </c>
      <c r="G88" s="1" t="s">
        <v>978</v>
      </c>
      <c r="H88" s="1">
        <f t="shared" si="1"/>
        <v>271.2</v>
      </c>
      <c r="I88" s="1" t="s">
        <v>499</v>
      </c>
      <c r="J88" s="1" t="s">
        <v>458</v>
      </c>
      <c r="K88" s="1" t="s">
        <v>47</v>
      </c>
      <c r="L88" s="1" t="s">
        <v>693</v>
      </c>
      <c r="M88" s="1" t="s">
        <v>979</v>
      </c>
      <c r="N88" s="1" t="s">
        <v>499</v>
      </c>
      <c r="O88" s="1" t="s">
        <v>458</v>
      </c>
      <c r="P88" s="1" t="s">
        <v>47</v>
      </c>
      <c r="Q88" s="1" t="s">
        <v>693</v>
      </c>
      <c r="R88" s="1" t="s">
        <v>979</v>
      </c>
      <c r="S88" s="1" t="s">
        <v>980</v>
      </c>
      <c r="T88" s="1" t="s">
        <v>981</v>
      </c>
      <c r="U88" s="1" t="s">
        <v>982</v>
      </c>
      <c r="V88" s="1" t="s">
        <v>979</v>
      </c>
      <c r="W88" s="1" t="s">
        <v>573</v>
      </c>
      <c r="X88" s="1" t="s">
        <v>983</v>
      </c>
    </row>
    <row r="89" spans="1:24" ht="18.75" x14ac:dyDescent="0.25">
      <c r="A89" s="1" t="s">
        <v>37</v>
      </c>
      <c r="B89" s="1" t="s">
        <v>38</v>
      </c>
      <c r="C89" s="1" t="s">
        <v>984</v>
      </c>
      <c r="D89" s="1" t="s">
        <v>985</v>
      </c>
      <c r="E89" s="1" t="s">
        <v>932</v>
      </c>
      <c r="F89" s="1" t="s">
        <v>223</v>
      </c>
      <c r="G89" s="1" t="s">
        <v>111</v>
      </c>
      <c r="H89" s="1">
        <f t="shared" si="1"/>
        <v>108.6</v>
      </c>
      <c r="I89" s="1" t="s">
        <v>223</v>
      </c>
      <c r="J89" s="1" t="s">
        <v>47</v>
      </c>
      <c r="K89" s="1" t="s">
        <v>47</v>
      </c>
      <c r="L89" s="1" t="s">
        <v>47</v>
      </c>
      <c r="M89" s="1" t="s">
        <v>986</v>
      </c>
      <c r="N89" s="1" t="s">
        <v>223</v>
      </c>
      <c r="O89" s="1" t="s">
        <v>47</v>
      </c>
      <c r="P89" s="1" t="s">
        <v>47</v>
      </c>
      <c r="Q89" s="1" t="s">
        <v>47</v>
      </c>
      <c r="R89" s="1" t="s">
        <v>986</v>
      </c>
      <c r="S89" s="1" t="s">
        <v>987</v>
      </c>
      <c r="T89" s="1" t="s">
        <v>988</v>
      </c>
      <c r="U89" s="1" t="s">
        <v>989</v>
      </c>
      <c r="V89" s="1" t="s">
        <v>986</v>
      </c>
      <c r="W89" s="1" t="s">
        <v>990</v>
      </c>
      <c r="X89" s="1" t="s">
        <v>900</v>
      </c>
    </row>
    <row r="90" spans="1:24" ht="18.75" x14ac:dyDescent="0.25">
      <c r="A90" s="1" t="s">
        <v>37</v>
      </c>
      <c r="B90" s="1" t="s">
        <v>38</v>
      </c>
      <c r="C90" s="1" t="s">
        <v>991</v>
      </c>
      <c r="D90" s="1" t="s">
        <v>992</v>
      </c>
      <c r="E90" s="1" t="s">
        <v>137</v>
      </c>
      <c r="F90" s="1" t="s">
        <v>598</v>
      </c>
      <c r="G90" s="1" t="s">
        <v>993</v>
      </c>
      <c r="H90" s="1">
        <f t="shared" si="1"/>
        <v>93</v>
      </c>
      <c r="I90" s="1" t="s">
        <v>598</v>
      </c>
      <c r="J90" s="1" t="s">
        <v>47</v>
      </c>
      <c r="K90" s="1" t="s">
        <v>47</v>
      </c>
      <c r="L90" s="1" t="s">
        <v>47</v>
      </c>
      <c r="M90" s="1" t="s">
        <v>994</v>
      </c>
      <c r="N90" s="1" t="s">
        <v>598</v>
      </c>
      <c r="O90" s="1" t="s">
        <v>47</v>
      </c>
      <c r="P90" s="1" t="s">
        <v>47</v>
      </c>
      <c r="Q90" s="1" t="s">
        <v>47</v>
      </c>
      <c r="R90" s="1" t="s">
        <v>994</v>
      </c>
      <c r="S90" s="1" t="s">
        <v>995</v>
      </c>
      <c r="T90" s="1" t="s">
        <v>996</v>
      </c>
      <c r="U90" s="1" t="s">
        <v>997</v>
      </c>
      <c r="V90" s="1" t="s">
        <v>994</v>
      </c>
      <c r="W90" s="1" t="s">
        <v>826</v>
      </c>
      <c r="X90" s="1" t="s">
        <v>998</v>
      </c>
    </row>
    <row r="91" spans="1:24" ht="18.75" x14ac:dyDescent="0.25">
      <c r="A91" s="1" t="s">
        <v>37</v>
      </c>
      <c r="B91" s="1" t="s">
        <v>38</v>
      </c>
      <c r="C91" s="1" t="s">
        <v>999</v>
      </c>
      <c r="D91" s="1" t="s">
        <v>1000</v>
      </c>
      <c r="E91" s="1" t="s">
        <v>1001</v>
      </c>
      <c r="F91" s="1" t="s">
        <v>1002</v>
      </c>
      <c r="G91" s="1" t="s">
        <v>1003</v>
      </c>
      <c r="H91" s="1">
        <f t="shared" si="1"/>
        <v>438.1</v>
      </c>
      <c r="I91" s="1" t="s">
        <v>1004</v>
      </c>
      <c r="J91" s="1" t="s">
        <v>47</v>
      </c>
      <c r="K91" s="1" t="s">
        <v>47</v>
      </c>
      <c r="L91" s="1" t="s">
        <v>47</v>
      </c>
      <c r="M91" s="1" t="s">
        <v>1005</v>
      </c>
      <c r="N91" s="1" t="s">
        <v>1004</v>
      </c>
      <c r="O91" s="1" t="s">
        <v>47</v>
      </c>
      <c r="P91" s="1" t="s">
        <v>47</v>
      </c>
      <c r="Q91" s="1" t="s">
        <v>47</v>
      </c>
      <c r="R91" s="1" t="s">
        <v>1005</v>
      </c>
      <c r="S91" s="1" t="s">
        <v>1006</v>
      </c>
      <c r="T91" s="1" t="s">
        <v>1007</v>
      </c>
      <c r="U91" s="1" t="s">
        <v>1008</v>
      </c>
      <c r="V91" s="1" t="s">
        <v>1005</v>
      </c>
      <c r="W91" s="1" t="s">
        <v>939</v>
      </c>
      <c r="X91" s="1" t="s">
        <v>1009</v>
      </c>
    </row>
    <row r="92" spans="1:24" ht="18.75" x14ac:dyDescent="0.25">
      <c r="A92" s="1" t="s">
        <v>37</v>
      </c>
      <c r="B92" s="1" t="s">
        <v>38</v>
      </c>
      <c r="C92" s="1" t="s">
        <v>1010</v>
      </c>
      <c r="D92" s="1" t="s">
        <v>1011</v>
      </c>
      <c r="E92" s="1" t="s">
        <v>833</v>
      </c>
      <c r="F92" s="1" t="s">
        <v>275</v>
      </c>
      <c r="G92" s="1" t="s">
        <v>164</v>
      </c>
      <c r="H92" s="1">
        <f t="shared" si="1"/>
        <v>162.39999999999998</v>
      </c>
      <c r="I92" s="1" t="s">
        <v>436</v>
      </c>
      <c r="J92" s="1" t="s">
        <v>1012</v>
      </c>
      <c r="K92" s="1" t="s">
        <v>302</v>
      </c>
      <c r="L92" s="1" t="s">
        <v>1013</v>
      </c>
      <c r="M92" s="1" t="s">
        <v>1014</v>
      </c>
      <c r="N92" s="1" t="s">
        <v>436</v>
      </c>
      <c r="O92" s="1" t="s">
        <v>1012</v>
      </c>
      <c r="P92" s="1" t="s">
        <v>302</v>
      </c>
      <c r="Q92" s="1" t="s">
        <v>1013</v>
      </c>
      <c r="R92" s="1" t="s">
        <v>1014</v>
      </c>
      <c r="S92" s="1" t="s">
        <v>1015</v>
      </c>
      <c r="T92" s="1" t="s">
        <v>1016</v>
      </c>
      <c r="U92" s="1" t="s">
        <v>1017</v>
      </c>
      <c r="V92" s="1" t="s">
        <v>1014</v>
      </c>
      <c r="W92" s="1" t="s">
        <v>1018</v>
      </c>
      <c r="X92" s="1" t="s">
        <v>1019</v>
      </c>
    </row>
    <row r="93" spans="1:24" ht="18.75" x14ac:dyDescent="0.25">
      <c r="A93" s="1" t="s">
        <v>37</v>
      </c>
      <c r="B93" s="1" t="s">
        <v>38</v>
      </c>
      <c r="C93" s="1" t="s">
        <v>1020</v>
      </c>
      <c r="D93" s="1" t="s">
        <v>1021</v>
      </c>
      <c r="E93" s="1" t="s">
        <v>422</v>
      </c>
      <c r="F93" s="1" t="s">
        <v>650</v>
      </c>
      <c r="G93" s="1" t="s">
        <v>85</v>
      </c>
      <c r="H93" s="1">
        <f t="shared" si="1"/>
        <v>205.10000000000002</v>
      </c>
      <c r="I93" s="1" t="s">
        <v>650</v>
      </c>
      <c r="J93" s="1" t="s">
        <v>47</v>
      </c>
      <c r="K93" s="1" t="s">
        <v>47</v>
      </c>
      <c r="L93" s="1" t="s">
        <v>47</v>
      </c>
      <c r="M93" s="1" t="s">
        <v>1022</v>
      </c>
      <c r="N93" s="1" t="s">
        <v>650</v>
      </c>
      <c r="O93" s="1" t="s">
        <v>47</v>
      </c>
      <c r="P93" s="1" t="s">
        <v>47</v>
      </c>
      <c r="Q93" s="1" t="s">
        <v>47</v>
      </c>
      <c r="R93" s="1" t="s">
        <v>1022</v>
      </c>
      <c r="S93" s="1" t="s">
        <v>1023</v>
      </c>
      <c r="T93" s="1" t="s">
        <v>1024</v>
      </c>
      <c r="U93" s="1" t="s">
        <v>1025</v>
      </c>
      <c r="V93" s="1" t="s">
        <v>1022</v>
      </c>
      <c r="W93" s="1" t="s">
        <v>1026</v>
      </c>
      <c r="X93" s="1" t="s">
        <v>1027</v>
      </c>
    </row>
    <row r="94" spans="1:24" ht="18.75" x14ac:dyDescent="0.25">
      <c r="A94" s="1" t="s">
        <v>37</v>
      </c>
      <c r="B94" s="1" t="s">
        <v>38</v>
      </c>
      <c r="C94" s="1" t="s">
        <v>1028</v>
      </c>
      <c r="D94" s="1" t="s">
        <v>1029</v>
      </c>
      <c r="E94" s="1" t="s">
        <v>826</v>
      </c>
      <c r="F94" s="1" t="s">
        <v>186</v>
      </c>
      <c r="G94" s="1" t="s">
        <v>1030</v>
      </c>
      <c r="H94" s="1">
        <f t="shared" si="1"/>
        <v>286.7</v>
      </c>
      <c r="I94" s="1" t="s">
        <v>308</v>
      </c>
      <c r="J94" s="1" t="s">
        <v>1031</v>
      </c>
      <c r="K94" s="1" t="s">
        <v>47</v>
      </c>
      <c r="L94" s="1" t="s">
        <v>349</v>
      </c>
      <c r="M94" s="1" t="s">
        <v>1032</v>
      </c>
      <c r="N94" s="1" t="s">
        <v>308</v>
      </c>
      <c r="O94" s="1" t="s">
        <v>1031</v>
      </c>
      <c r="P94" s="1" t="s">
        <v>47</v>
      </c>
      <c r="Q94" s="1" t="s">
        <v>349</v>
      </c>
      <c r="R94" s="1" t="s">
        <v>1032</v>
      </c>
      <c r="S94" s="1" t="s">
        <v>1033</v>
      </c>
      <c r="T94" s="1" t="s">
        <v>1034</v>
      </c>
      <c r="U94" s="1" t="s">
        <v>1035</v>
      </c>
      <c r="V94" s="1" t="s">
        <v>1032</v>
      </c>
      <c r="W94" s="1" t="s">
        <v>849</v>
      </c>
      <c r="X94" s="1" t="s">
        <v>1036</v>
      </c>
    </row>
    <row r="95" spans="1:24" ht="18.75" x14ac:dyDescent="0.25">
      <c r="A95" s="1" t="s">
        <v>37</v>
      </c>
      <c r="B95" s="1" t="s">
        <v>38</v>
      </c>
      <c r="C95" s="1" t="s">
        <v>1037</v>
      </c>
      <c r="D95" s="1" t="s">
        <v>1038</v>
      </c>
      <c r="E95" s="1" t="s">
        <v>1039</v>
      </c>
      <c r="F95" s="1" t="s">
        <v>1040</v>
      </c>
      <c r="G95" s="1" t="s">
        <v>1041</v>
      </c>
      <c r="H95" s="1">
        <f t="shared" si="1"/>
        <v>5440</v>
      </c>
      <c r="I95" s="1" t="s">
        <v>1042</v>
      </c>
      <c r="J95" s="1" t="s">
        <v>1043</v>
      </c>
      <c r="K95" s="1">
        <v>132.69999999999999</v>
      </c>
      <c r="L95" s="1" t="s">
        <v>1045</v>
      </c>
      <c r="M95" s="1" t="s">
        <v>1046</v>
      </c>
      <c r="N95" s="1" t="s">
        <v>1042</v>
      </c>
      <c r="O95" s="1" t="s">
        <v>1043</v>
      </c>
      <c r="P95" s="1" t="s">
        <v>1044</v>
      </c>
      <c r="Q95" s="1" t="s">
        <v>1045</v>
      </c>
      <c r="R95" s="1" t="s">
        <v>1046</v>
      </c>
      <c r="S95" s="1" t="s">
        <v>1047</v>
      </c>
      <c r="T95" s="1" t="s">
        <v>1048</v>
      </c>
      <c r="U95" s="1" t="s">
        <v>1049</v>
      </c>
      <c r="V95" s="1" t="s">
        <v>1046</v>
      </c>
      <c r="W95" s="1" t="s">
        <v>884</v>
      </c>
      <c r="X95" s="1" t="s">
        <v>1050</v>
      </c>
    </row>
    <row r="96" spans="1:24" ht="18.75" x14ac:dyDescent="0.25">
      <c r="A96" s="1" t="s">
        <v>37</v>
      </c>
      <c r="B96" s="1" t="s">
        <v>38</v>
      </c>
      <c r="C96" s="1" t="s">
        <v>1051</v>
      </c>
      <c r="D96" s="1" t="s">
        <v>1052</v>
      </c>
      <c r="E96" s="1" t="s">
        <v>300</v>
      </c>
      <c r="F96" s="1" t="s">
        <v>1053</v>
      </c>
      <c r="G96" s="1" t="s">
        <v>136</v>
      </c>
      <c r="H96" s="1">
        <f t="shared" si="1"/>
        <v>126.5</v>
      </c>
      <c r="I96" s="1" t="s">
        <v>1053</v>
      </c>
      <c r="J96" s="1" t="s">
        <v>47</v>
      </c>
      <c r="K96" s="1">
        <v>0</v>
      </c>
      <c r="L96" s="1" t="s">
        <v>47</v>
      </c>
      <c r="M96" s="1" t="s">
        <v>1054</v>
      </c>
      <c r="N96" s="1" t="s">
        <v>1053</v>
      </c>
      <c r="O96" s="1" t="s">
        <v>47</v>
      </c>
      <c r="P96" s="1" t="s">
        <v>47</v>
      </c>
      <c r="Q96" s="1" t="s">
        <v>47</v>
      </c>
      <c r="R96" s="1" t="s">
        <v>1054</v>
      </c>
      <c r="S96" s="1" t="s">
        <v>1055</v>
      </c>
      <c r="T96" s="1" t="s">
        <v>1056</v>
      </c>
      <c r="U96" s="1" t="s">
        <v>1057</v>
      </c>
      <c r="V96" s="1" t="s">
        <v>1054</v>
      </c>
      <c r="W96" s="1" t="s">
        <v>939</v>
      </c>
      <c r="X96" s="1" t="s">
        <v>1058</v>
      </c>
    </row>
    <row r="97" spans="1:24" ht="18.75" x14ac:dyDescent="0.25">
      <c r="A97" s="1" t="s">
        <v>37</v>
      </c>
      <c r="B97" s="1" t="s">
        <v>38</v>
      </c>
      <c r="C97" s="1" t="s">
        <v>1059</v>
      </c>
      <c r="D97" s="1" t="s">
        <v>1060</v>
      </c>
      <c r="E97" s="1" t="s">
        <v>426</v>
      </c>
      <c r="F97" s="1" t="s">
        <v>103</v>
      </c>
      <c r="G97" s="1" t="s">
        <v>1061</v>
      </c>
      <c r="H97" s="1">
        <f t="shared" si="1"/>
        <v>232.7</v>
      </c>
      <c r="I97" s="1" t="s">
        <v>1062</v>
      </c>
      <c r="J97" s="1" t="s">
        <v>1063</v>
      </c>
      <c r="K97" s="1" t="s">
        <v>1064</v>
      </c>
      <c r="L97" s="1" t="s">
        <v>112</v>
      </c>
      <c r="M97" s="1" t="s">
        <v>1065</v>
      </c>
      <c r="N97" s="1" t="s">
        <v>1062</v>
      </c>
      <c r="O97" s="1" t="s">
        <v>1063</v>
      </c>
      <c r="P97" s="1" t="s">
        <v>1064</v>
      </c>
      <c r="Q97" s="1" t="s">
        <v>112</v>
      </c>
      <c r="R97" s="1" t="s">
        <v>1065</v>
      </c>
      <c r="S97" s="1" t="s">
        <v>1066</v>
      </c>
      <c r="T97" s="1" t="s">
        <v>1067</v>
      </c>
      <c r="U97" s="1" t="s">
        <v>1068</v>
      </c>
      <c r="V97" s="1" t="s">
        <v>1065</v>
      </c>
      <c r="W97" s="1" t="s">
        <v>1069</v>
      </c>
      <c r="X97" s="1" t="s">
        <v>1070</v>
      </c>
    </row>
    <row r="98" spans="1:24" ht="18.75" x14ac:dyDescent="0.25">
      <c r="A98" s="1" t="s">
        <v>37</v>
      </c>
      <c r="B98" s="1" t="s">
        <v>38</v>
      </c>
      <c r="C98" s="1" t="s">
        <v>1071</v>
      </c>
      <c r="D98" s="1" t="s">
        <v>1072</v>
      </c>
      <c r="E98" s="1" t="s">
        <v>1073</v>
      </c>
      <c r="F98" s="1" t="s">
        <v>1074</v>
      </c>
      <c r="G98" s="1" t="s">
        <v>1075</v>
      </c>
      <c r="H98" s="1">
        <f t="shared" si="1"/>
        <v>1240.7</v>
      </c>
      <c r="I98" s="1" t="s">
        <v>1076</v>
      </c>
      <c r="J98" s="1" t="s">
        <v>1077</v>
      </c>
      <c r="K98" s="1" t="s">
        <v>787</v>
      </c>
      <c r="L98" s="1" t="s">
        <v>894</v>
      </c>
      <c r="M98" s="1" t="s">
        <v>1078</v>
      </c>
      <c r="N98" s="1" t="s">
        <v>1076</v>
      </c>
      <c r="O98" s="1" t="s">
        <v>1077</v>
      </c>
      <c r="P98" s="1" t="s">
        <v>787</v>
      </c>
      <c r="Q98" s="1" t="s">
        <v>894</v>
      </c>
      <c r="R98" s="1" t="s">
        <v>1078</v>
      </c>
      <c r="S98" s="1" t="s">
        <v>1079</v>
      </c>
      <c r="T98" s="1" t="s">
        <v>1080</v>
      </c>
      <c r="U98" s="1" t="s">
        <v>1081</v>
      </c>
      <c r="V98" s="1" t="s">
        <v>1078</v>
      </c>
      <c r="W98" s="1" t="s">
        <v>1082</v>
      </c>
      <c r="X98" s="1" t="s">
        <v>1083</v>
      </c>
    </row>
    <row r="99" spans="1:24" ht="18.75" x14ac:dyDescent="0.25">
      <c r="A99" s="1" t="s">
        <v>37</v>
      </c>
      <c r="B99" s="1" t="s">
        <v>38</v>
      </c>
      <c r="C99" s="1" t="s">
        <v>1084</v>
      </c>
      <c r="D99" s="1" t="s">
        <v>1085</v>
      </c>
      <c r="E99" s="1" t="s">
        <v>946</v>
      </c>
      <c r="F99" s="1" t="s">
        <v>222</v>
      </c>
      <c r="G99" s="1" t="s">
        <v>1086</v>
      </c>
      <c r="H99" s="1">
        <f t="shared" si="1"/>
        <v>94.1</v>
      </c>
      <c r="I99" s="1" t="s">
        <v>1087</v>
      </c>
      <c r="J99" s="1" t="s">
        <v>1088</v>
      </c>
      <c r="K99" s="1" t="s">
        <v>140</v>
      </c>
      <c r="L99" s="1" t="s">
        <v>47</v>
      </c>
      <c r="M99" s="1" t="s">
        <v>1089</v>
      </c>
      <c r="N99" s="1" t="s">
        <v>1087</v>
      </c>
      <c r="O99" s="1" t="s">
        <v>1088</v>
      </c>
      <c r="P99" s="1" t="s">
        <v>140</v>
      </c>
      <c r="Q99" s="1" t="s">
        <v>47</v>
      </c>
      <c r="R99" s="1" t="s">
        <v>1089</v>
      </c>
      <c r="S99" s="1" t="s">
        <v>1090</v>
      </c>
      <c r="T99" s="1" t="s">
        <v>1091</v>
      </c>
      <c r="U99" s="1" t="s">
        <v>1092</v>
      </c>
      <c r="V99" s="1" t="s">
        <v>1089</v>
      </c>
      <c r="W99" s="1" t="s">
        <v>673</v>
      </c>
      <c r="X99" s="1" t="s">
        <v>1093</v>
      </c>
    </row>
    <row r="100" spans="1:24" ht="18.75" x14ac:dyDescent="0.25">
      <c r="A100" s="1" t="s">
        <v>37</v>
      </c>
      <c r="B100" s="1" t="s">
        <v>38</v>
      </c>
      <c r="C100" s="1" t="s">
        <v>1094</v>
      </c>
      <c r="D100" s="1" t="s">
        <v>1095</v>
      </c>
      <c r="E100" s="1" t="s">
        <v>337</v>
      </c>
      <c r="F100" s="1" t="s">
        <v>107</v>
      </c>
      <c r="G100" s="1" t="s">
        <v>371</v>
      </c>
      <c r="H100" s="1">
        <f t="shared" si="1"/>
        <v>151.69999999999999</v>
      </c>
      <c r="I100" s="1" t="s">
        <v>47</v>
      </c>
      <c r="J100" s="1" t="s">
        <v>261</v>
      </c>
      <c r="K100" s="1" t="s">
        <v>371</v>
      </c>
      <c r="L100" s="1" t="s">
        <v>1096</v>
      </c>
      <c r="M100" s="1" t="s">
        <v>1097</v>
      </c>
      <c r="N100" s="1" t="s">
        <v>47</v>
      </c>
      <c r="O100" s="1" t="s">
        <v>261</v>
      </c>
      <c r="P100" s="1" t="s">
        <v>371</v>
      </c>
      <c r="Q100" s="1" t="s">
        <v>1096</v>
      </c>
      <c r="R100" s="1" t="s">
        <v>1097</v>
      </c>
      <c r="S100" s="1" t="s">
        <v>1098</v>
      </c>
      <c r="T100" s="1" t="s">
        <v>1099</v>
      </c>
      <c r="U100" s="1" t="s">
        <v>1100</v>
      </c>
      <c r="V100" s="1" t="s">
        <v>1097</v>
      </c>
      <c r="W100" s="1" t="s">
        <v>1101</v>
      </c>
      <c r="X100" s="1" t="s">
        <v>1102</v>
      </c>
    </row>
    <row r="101" spans="1:24" ht="18.75" x14ac:dyDescent="0.25">
      <c r="A101" s="1" t="s">
        <v>37</v>
      </c>
      <c r="B101" s="1" t="s">
        <v>38</v>
      </c>
      <c r="C101" s="1" t="s">
        <v>1103</v>
      </c>
      <c r="D101" s="1" t="s">
        <v>1104</v>
      </c>
      <c r="E101" s="1" t="s">
        <v>236</v>
      </c>
      <c r="F101" s="1" t="s">
        <v>1087</v>
      </c>
      <c r="G101" s="1" t="s">
        <v>746</v>
      </c>
      <c r="H101" s="1">
        <f t="shared" si="1"/>
        <v>20.100000000000001</v>
      </c>
      <c r="I101" s="1" t="s">
        <v>1087</v>
      </c>
      <c r="J101" s="1" t="s">
        <v>47</v>
      </c>
      <c r="K101" s="1" t="s">
        <v>47</v>
      </c>
      <c r="L101" s="1" t="s">
        <v>47</v>
      </c>
      <c r="M101" s="1" t="s">
        <v>416</v>
      </c>
      <c r="N101" s="1" t="s">
        <v>1087</v>
      </c>
      <c r="O101" s="1" t="s">
        <v>47</v>
      </c>
      <c r="P101" s="1" t="s">
        <v>47</v>
      </c>
      <c r="Q101" s="1" t="s">
        <v>47</v>
      </c>
      <c r="R101" s="1" t="s">
        <v>416</v>
      </c>
      <c r="S101" s="1" t="s">
        <v>1105</v>
      </c>
      <c r="T101" s="1" t="s">
        <v>1106</v>
      </c>
      <c r="U101" s="1" t="s">
        <v>1107</v>
      </c>
      <c r="V101" s="1" t="s">
        <v>416</v>
      </c>
      <c r="W101" s="1" t="s">
        <v>1108</v>
      </c>
      <c r="X101" s="1" t="s">
        <v>1109</v>
      </c>
    </row>
    <row r="102" spans="1:24" x14ac:dyDescent="0.25">
      <c r="A102" s="12" t="s">
        <v>1116</v>
      </c>
    </row>
  </sheetData>
  <mergeCells count="13">
    <mergeCell ref="V1:X1"/>
    <mergeCell ref="N1:Q1"/>
    <mergeCell ref="A1:A2"/>
    <mergeCell ref="B1:B2"/>
    <mergeCell ref="C1:C2"/>
    <mergeCell ref="D1:D2"/>
    <mergeCell ref="E1:E2"/>
    <mergeCell ref="F1:F2"/>
    <mergeCell ref="R1:U1"/>
    <mergeCell ref="G1:G2"/>
    <mergeCell ref="H1:H2"/>
    <mergeCell ref="I1:L1"/>
    <mergeCell ref="M1:M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Tuman</vt:lpstr>
      <vt:lpstr>Fermer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Muxammadjonov Muzaffar Maqsudjon o'g'li</dc:creator>
  <cp:lastModifiedBy>Muzaffar Muhammadjonov</cp:lastModifiedBy>
  <dcterms:created xsi:type="dcterms:W3CDTF">2015-06-05T18:19:34Z</dcterms:created>
  <dcterms:modified xsi:type="dcterms:W3CDTF">2026-10-21T10:42:25Z</dcterms:modified>
</cp:coreProperties>
</file>